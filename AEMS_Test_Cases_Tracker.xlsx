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0032cec1b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810342c8d54865"/>
    <x:sheet xmlns:r="http://schemas.openxmlformats.org/officeDocument/2006/relationships" name="Test Cases" sheetId="2" r:id="Redbfc05667584c63"/>
    <x:sheet xmlns:r="http://schemas.openxmlformats.org/officeDocument/2006/relationships" name="10 Week Plan" sheetId="3" r:id="Ra89d184db9004c9c"/>
    <x:sheet xmlns:r="http://schemas.openxmlformats.org/officeDocument/2006/relationships" name="Lists" sheetId="4" r:id="R2307699cffc9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4"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0000"/>
      </x:font>
      <x:fill>
        <x:patternFill patternType="solid">
          <x:bgColor rgb="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a77d143dc4c9b" /><Relationship Type="http://schemas.openxmlformats.org/officeDocument/2006/relationships/theme" Target="/xl/theme/theme1.xml" Id="R4a14e430c6c54084" /><Relationship Type="http://schemas.openxmlformats.org/officeDocument/2006/relationships/sharedStrings" Target="/xl/sharedStrings.xml" Id="Rd5e2238e628d4ebb" /><Relationship Type="http://schemas.openxmlformats.org/officeDocument/2006/relationships/worksheet" Target="/xl/worksheets/sheet1.xml" Id="Rcf810342c8d54865" /><Relationship Type="http://schemas.openxmlformats.org/officeDocument/2006/relationships/worksheet" Target="/xl/worksheets/sheet2.xml" Id="Redbfc05667584c63" /><Relationship Type="http://schemas.openxmlformats.org/officeDocument/2006/relationships/worksheet" Target="/xl/worksheets/sheet3.xml" Id="Ra89d184db9004c9c" /><Relationship Type="http://schemas.openxmlformats.org/officeDocument/2006/relationships/worksheet" Target="/xl/worksheets/sheet4.xml" Id="R2307699cffc946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6957c98dc542fb" /><Relationship Type="http://schemas.openxmlformats.org/officeDocument/2006/relationships/chart" Target="/xl/drawings/charts/chart2.xml" Id="R06632732e35844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Case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Progress by Member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'Dashboard'!$C$11:$C$14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6957c98dc542fb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632732e35844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1:N41" headerRowCount="1">
  <x:tableColumns count="14">
    <x:tableColumn id="1" name="TC ID"/>
    <x:tableColumn id="2" name="Week"/>
    <x:tableColumn id="3" name="Module"/>
    <x:tableColumn id="4" name="Feature"/>
    <x:tableColumn id="5" name="Test Case"/>
    <x:tableColumn id="6" name="Precondition"/>
    <x:tableColumn id="7" name="Test Steps"/>
    <x:tableColumn id="8" name="Expected Result"/>
    <x:tableColumn id="9" name="Assigned To"/>
    <x:tableColumn id="10" name="Priority"/>
    <x:tableColumn id="11" name="Deadline"/>
    <x:tableColumn id="12" name="Status"/>
    <x:tableColumn id="13" name="Actual Result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ScheduleTable" displayName="ScheduleTable" ref="A1:F11" headerRowCount="1">
  <x:tableColumns count="6">
    <x:tableColumn id="1" name="Week"/>
    <x:tableColumn id="2" name="DatHVT"/>
    <x:tableColumn id="3" name="AnhNVT"/>
    <x:tableColumn id="4" name="TuHNC"/>
    <x:tableColumn id="5" name="SangTM"/>
    <x:tableColumn id="6" name="Main Go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ea30017dda46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08c574f88941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6030656ae1497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</x:cols>
  <x:sheetData>
    <x:row r="1" ht="32" customHeight="1">
      <x:c r="A1" s="14" t="str">
        <x:v>AEMS TEST CASE TRACKER</x:v>
      </x:c>
    </x:row>
    <x:row r="3">
      <x:c r="A3" s="18" t="str">
        <x:v>Project</x:v>
      </x:c>
      <x:c r="B3" s="18" t="str">
        <x:v>Academic Event Management System (AEMS)</x:v>
      </x:c>
      <x:c r="D3" s="24" t="str">
        <x:v>Status</x:v>
      </x:c>
      <x:c r="E3" s="24" t="str">
        <x:v>Count</x:v>
      </x:c>
      <x:c r="F3" s="24" t="str">
        <x:v>Percent</x:v>
      </x:c>
    </x:row>
    <x:row r="4">
      <x:c r="A4" s="18" t="str">
        <x:v>Group</x:v>
      </x:c>
      <x:c r="B4" s="18" t="str">
        <x:v>SWR301_SE20A05_Group1</x:v>
      </x:c>
      <x:c r="D4" t="str">
        <x:v>Chưa hoàn thành</x:v>
      </x:c>
      <x:c r="E4" t="n">
        <x:f>COUNTIF('Test Cases'!L:L,"Chưa hoàn thành")</x:f>
        <x:v>40</x:v>
      </x:c>
      <x:c r="F4" s="32" t="n">
        <x:f>IF($B$6=0,0,E4/$B$6)</x:f>
        <x:v>1</x:v>
      </x:c>
    </x:row>
    <x:row r="5">
      <x:c r="A5" s="18" t="str">
        <x:v>Members</x:v>
      </x:c>
      <x:c r="B5" s="18" t="str">
        <x:v>DatHVT, AnhNVT, TuHNC, SangTM</x:v>
      </x:c>
      <x:c r="D5" t="str">
        <x:v>Đang làm</x:v>
      </x:c>
      <x:c r="E5" t="n">
        <x:f>COUNTIF('Test Cases'!L:L,"Đang làm")</x:f>
        <x:v>0</x:v>
      </x:c>
      <x:c r="F5" s="32" t="n">
        <x:f>IF($B$6=0,0,E5/$B$6)</x:f>
        <x:v>0</x:v>
      </x:c>
    </x:row>
    <x:row r="6">
      <x:c r="A6" s="18" t="str">
        <x:v>Total Test Cases</x:v>
      </x:c>
      <x:c r="B6" s="18" t="n">
        <x:f>COUNTA('Test Cases'!A2:A200)</x:f>
        <x:v>40</x:v>
      </x:c>
      <x:c r="D6" t="str">
        <x:v>Hoàn thành</x:v>
      </x:c>
      <x:c r="E6" t="n">
        <x:f>COUNTIF('Test Cases'!L:L,"Hoàn thành")</x:f>
        <x:v>0</x:v>
      </x:c>
      <x:c r="F6" s="32" t="n">
        <x:f>IF($B$6=0,0,E6/$B$6)</x:f>
        <x:v>0</x:v>
      </x:c>
    </x:row>
    <x:row r="7">
      <x:c r="A7" s="18" t="str">
        <x:v>Completed</x:v>
      </x:c>
      <x:c r="B7" s="18" t="n">
        <x:f>COUNTIF('Test Cases'!L2:L200,"Hoàn thành")</x:f>
        <x:v>0</x:v>
      </x:c>
      <x:c r="D7" t="str">
        <x:v>Blocked</x:v>
      </x:c>
      <x:c r="E7" t="n">
        <x:f>COUNTIF('Test Cases'!L:L,"Blocked")</x:f>
        <x:v>0</x:v>
      </x:c>
      <x:c r="F7" s="32" t="n">
        <x:f>IF($B$6=0,0,E7/$B$6)</x:f>
        <x:v>0</x:v>
      </x:c>
    </x:row>
    <x:row r="8">
      <x:c r="A8" s="18" t="str">
        <x:v>Completion Rate</x:v>
      </x:c>
      <x:c r="B8" s="30" t="n">
        <x:f>IF(B6=0,0,B7/B6)</x:f>
        <x:v>0</x:v>
      </x:c>
    </x:row>
    <x:row r="10">
      <x:c r="A10" s="24" t="str">
        <x:v>Member</x:v>
      </x:c>
      <x:c r="B10" s="24" t="str">
        <x:v>Total</x:v>
      </x:c>
      <x:c r="C10" s="24" t="str">
        <x:v>Completed</x:v>
      </x:c>
      <x:c r="D10" s="24" t="str">
        <x:v>Completion Rate</x:v>
      </x:c>
    </x:row>
    <x:row r="11">
      <x:c r="A11" t="str">
        <x:v>DatHVT</x:v>
      </x:c>
      <x:c r="B11" t="n">
        <x:f>COUNTIF('Test Cases'!I:I,A11)</x:f>
        <x:v>10</x:v>
      </x:c>
      <x:c r="C11" t="n">
        <x:f>COUNTIFS('Test Cases'!I:I,A11,'Test Cases'!L:L,"Hoàn thành")</x:f>
        <x:v>0</x:v>
      </x:c>
      <x:c r="D11" s="32" t="n">
        <x:f>IF(B11=0,0,C11/B11)</x:f>
        <x:v>0</x:v>
      </x:c>
    </x:row>
    <x:row r="12">
      <x:c r="A12" t="str">
        <x:v>AnhNVT</x:v>
      </x:c>
      <x:c r="B12" t="n">
        <x:f>COUNTIF('Test Cases'!I:I,A12)</x:f>
        <x:v>10</x:v>
      </x:c>
      <x:c r="C12" t="n">
        <x:f>COUNTIFS('Test Cases'!I:I,A12,'Test Cases'!L:L,"Hoàn thành")</x:f>
        <x:v>0</x:v>
      </x:c>
      <x:c r="D12" s="32" t="n">
        <x:f>IF(B12=0,0,C12/B12)</x:f>
        <x:v>0</x:v>
      </x:c>
    </x:row>
    <x:row r="13">
      <x:c r="A13" t="str">
        <x:v>TuHNC</x:v>
      </x:c>
      <x:c r="B13" t="n">
        <x:f>COUNTIF('Test Cases'!I:I,A13)</x:f>
        <x:v>10</x:v>
      </x:c>
      <x:c r="C13" t="n">
        <x:f>COUNTIFS('Test Cases'!I:I,A13,'Test Cases'!L:L,"Hoàn thành")</x:f>
        <x:v>0</x:v>
      </x:c>
      <x:c r="D13" s="32" t="n">
        <x:f>IF(B13=0,0,C13/B13)</x:f>
        <x:v>0</x:v>
      </x:c>
    </x:row>
    <x:row r="14">
      <x:c r="A14" t="str">
        <x:v>SangTM</x:v>
      </x:c>
      <x:c r="B14" t="n">
        <x:f>COUNTIF('Test Cases'!I:I,A14)</x:f>
        <x:v>10</x:v>
      </x:c>
      <x:c r="C14" t="n">
        <x:f>COUNTIFS('Test Cases'!I:I,A14,'Test Cases'!L:L,"Hoàn thành")</x:f>
        <x:v>0</x:v>
      </x:c>
      <x:c r="D14" s="32" t="n">
        <x:f>IF(B14=0,0,C14/B14)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cea30017dda46d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2" hidden="0" customWidth="1"/>
    <x:col min="5" max="5" width="34" hidden="0" customWidth="1"/>
    <x:col min="6" max="6" width="30" hidden="0" customWidth="1"/>
    <x:col min="7" max="7" width="40" hidden="0" customWidth="1"/>
    <x:col min="8" max="8" width="38" hidden="0" customWidth="1"/>
    <x:col min="9" max="9" width="14" hidden="0" customWidth="1"/>
    <x:col min="10" max="10" width="12" hidden="0" customWidth="1"/>
    <x:col min="11" max="11" width="14" hidden="0" customWidth="1"/>
    <x:col min="12" max="12" width="18" hidden="0" customWidth="1"/>
    <x:col min="13" max="13" width="24" hidden="0" customWidth="1"/>
    <x:col min="14" max="14" width="24" hidden="0" customWidth="1"/>
  </x:cols>
  <x:sheetData>
    <x:row r="1">
      <x:c r="A1" s="6" t="str">
        <x:v>TC ID</x:v>
      </x:c>
      <x:c r="B1" s="6" t="str">
        <x:v>Week</x:v>
      </x:c>
      <x:c r="C1" s="6" t="str">
        <x:v>Module</x:v>
      </x:c>
      <x:c r="D1" s="6" t="str">
        <x:v>Feature</x:v>
      </x:c>
      <x:c r="E1" s="6" t="str">
        <x:v>Test Case</x:v>
      </x:c>
      <x:c r="F1" s="6" t="str">
        <x:v>Precondition</x:v>
      </x:c>
      <x:c r="G1" s="6" t="str">
        <x:v>Test Steps</x:v>
      </x:c>
      <x:c r="H1" s="6" t="str">
        <x:v>Expected Result</x:v>
      </x:c>
      <x:c r="I1" s="6" t="str">
        <x:v>Assigned To</x:v>
      </x:c>
      <x:c r="J1" s="6" t="str">
        <x:v>Priority</x:v>
      </x:c>
      <x:c r="K1" s="6" t="str">
        <x:v>Deadline</x:v>
      </x:c>
      <x:c r="L1" s="6" t="str">
        <x:v>Status</x:v>
      </x:c>
      <x:c r="M1" s="6" t="str">
        <x:v>Actual Result</x:v>
      </x:c>
      <x:c r="N1" s="6" t="str">
        <x:v>Note</x:v>
      </x:c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TC001</x:v>
      </x:c>
      <x:c r="B2" t="str">
        <x:v>Week 1</x:v>
      </x:c>
      <x:c r="C2" t="str">
        <x:v>Authentication</x:v>
      </x:c>
      <x:c r="D2" t="str">
        <x:v>Login</x:v>
      </x:c>
      <x:c r="E2" t="str">
        <x:v>Đăng nhập thành công bằng tài khoản hợp lệ</x:v>
      </x:c>
      <x:c r="F2" t="str">
        <x:v>User đã có tài khoản</x:v>
      </x:c>
      <x:c r="G2" t="str">
        <x:v>1. Mở trang login
2. Nhập email/password đúng
3. Nhấn Login</x:v>
      </x:c>
      <x:c r="H2" t="str">
        <x:v>Đăng nhập thành công và chuyển đúng dashboard</x:v>
      </x:c>
      <x:c r="I2" t="str">
        <x:v>DatHVT</x:v>
      </x:c>
      <x:c r="J2" t="str">
        <x:v>High</x:v>
      </x:c>
      <x:c r="K2" s="34" t="n">
        <x:v>46180</x:v>
      </x:c>
      <x:c r="L2" t="str">
        <x:v>Chưa hoàn thành</x:v>
      </x:c>
      <x:c r="M2" t="str"/>
      <x:c r="N2" t="str"/>
    </x:row>
    <x:row r="3">
      <x:c r="A3" t="str">
        <x:v>TC002</x:v>
      </x:c>
      <x:c r="B3" t="str">
        <x:v>Week 1</x:v>
      </x:c>
      <x:c r="C3" t="str">
        <x:v>Event Management</x:v>
      </x:c>
      <x:c r="D3" t="str">
        <x:v>Create Event Proposal</x:v>
      </x:c>
      <x:c r="E3" t="str">
        <x:v>Tạo đề xuất sự kiện hợp lệ</x:v>
      </x:c>
      <x:c r="F3" t="str">
        <x:v>Department đã đăng nhập</x:v>
      </x:c>
      <x:c r="G3" t="str">
        <x:v>1. Mở form proposal
2. Nhập đầy đủ thông tin
3. Submit</x:v>
      </x:c>
      <x:c r="H3" t="str">
        <x:v>Proposal được lưu ở trạng thái Pending</x:v>
      </x:c>
      <x:c r="I3" t="str">
        <x:v>AnhNVT</x:v>
      </x:c>
      <x:c r="J3" t="str">
        <x:v>High</x:v>
      </x:c>
      <x:c r="K3" s="34" t="n">
        <x:v>46180</x:v>
      </x:c>
      <x:c r="L3" t="str">
        <x:v>Chưa hoàn thành</x:v>
      </x:c>
      <x:c r="M3" t="str"/>
      <x:c r="N3" t="str"/>
    </x:row>
    <x:row r="4">
      <x:c r="A4" t="str">
        <x:v>TC003</x:v>
      </x:c>
      <x:c r="B4" t="str">
        <x:v>Week 1</x:v>
      </x:c>
      <x:c r="C4" t="str">
        <x:v>Registration &amp; RBL</x:v>
      </x:c>
      <x:c r="D4" t="str">
        <x:v>Event Detail/Register</x:v>
      </x:c>
      <x:c r="E4" t="str">
        <x:v>Sinh viên xem chi tiết và đăng ký sự kiện</x:v>
      </x:c>
      <x:c r="F4" t="str">
        <x:v>Student đã đăng nhập, event đang mở</x:v>
      </x:c>
      <x:c r="G4" t="str">
        <x:v>1. Mở event list
2. Click detail
3. Nhấn Register</x:v>
      </x:c>
      <x:c r="H4" t="str">
        <x:v>Đăng ký thành công hoặc vào waitlist</x:v>
      </x:c>
      <x:c r="I4" t="str">
        <x:v>TuHNC</x:v>
      </x:c>
      <x:c r="J4" t="str">
        <x:v>High</x:v>
      </x:c>
      <x:c r="K4" s="34" t="n">
        <x:v>46180</x:v>
      </x:c>
      <x:c r="L4" t="str">
        <x:v>Chưa hoàn thành</x:v>
      </x:c>
      <x:c r="M4" t="str"/>
      <x:c r="N4" t="str"/>
    </x:row>
    <x:row r="5">
      <x:c r="A5" t="str">
        <x:v>TC004</x:v>
      </x:c>
      <x:c r="B5" t="str">
        <x:v>Week 1</x:v>
      </x:c>
      <x:c r="C5" t="str">
        <x:v>Attendance</x:v>
      </x:c>
      <x:c r="D5" t="str">
        <x:v>Dynamic QR</x:v>
      </x:c>
      <x:c r="E5" t="str">
        <x:v>Department mở trang QR check-in</x:v>
      </x:c>
      <x:c r="F5" t="str">
        <x:v>Event đã được duyệt</x:v>
      </x:c>
      <x:c r="G5" t="str">
        <x:v>1. Mở attendance QR page
2. Xem QR hiện tại</x:v>
      </x:c>
      <x:c r="H5" t="str">
        <x:v>QR hiển thị đúng và có token hợp lệ</x:v>
      </x:c>
      <x:c r="I5" t="str">
        <x:v>SangTM</x:v>
      </x:c>
      <x:c r="J5" t="str">
        <x:v>High</x:v>
      </x:c>
      <x:c r="K5" s="34" t="n">
        <x:v>46180</x:v>
      </x:c>
      <x:c r="L5" t="str">
        <x:v>Chưa hoàn thành</x:v>
      </x:c>
      <x:c r="M5" t="str"/>
      <x:c r="N5" t="str"/>
    </x:row>
    <x:row r="6">
      <x:c r="A6" t="str">
        <x:v>TC005</x:v>
      </x:c>
      <x:c r="B6" t="str">
        <x:v>Week 2</x:v>
      </x:c>
      <x:c r="C6" t="str">
        <x:v>Authentication</x:v>
      </x:c>
      <x:c r="D6" t="str">
        <x:v>Authorization</x:v>
      </x:c>
      <x:c r="E6" t="str">
        <x:v>Chặn Student truy cập trang Admin</x:v>
      </x:c>
      <x:c r="F6" t="str">
        <x:v>Student đã đăng nhập</x:v>
      </x:c>
      <x:c r="G6" t="str">
        <x:v>1. Truy cập URL admin
2. Quan sát kết quả</x:v>
      </x:c>
      <x:c r="H6" t="str">
        <x:v>Hệ thống từ chối truy cập hoặc redirect</x:v>
      </x:c>
      <x:c r="I6" t="str">
        <x:v>DatHVT</x:v>
      </x:c>
      <x:c r="J6" t="str">
        <x:v>High</x:v>
      </x:c>
      <x:c r="K6" s="34" t="n">
        <x:v>46187</x:v>
      </x:c>
      <x:c r="L6" t="str">
        <x:v>Chưa hoàn thành</x:v>
      </x:c>
      <x:c r="M6" t="str"/>
      <x:c r="N6" t="str"/>
    </x:row>
    <x:row r="7">
      <x:c r="A7" t="str">
        <x:v>TC006</x:v>
      </x:c>
      <x:c r="B7" t="str">
        <x:v>Week 2</x:v>
      </x:c>
      <x:c r="C7" t="str">
        <x:v>Approval Workflow</x:v>
      </x:c>
      <x:c r="D7" t="str">
        <x:v>Approve Proposal</x:v>
      </x:c>
      <x:c r="E7" t="str">
        <x:v>Committee duyệt proposal</x:v>
      </x:c>
      <x:c r="F7" t="str">
        <x:v>Proposal ở trạng thái Pending</x:v>
      </x:c>
      <x:c r="G7" t="str">
        <x:v>1. Committee mở proposal
2. Nhấn Approve</x:v>
      </x:c>
      <x:c r="H7" t="str">
        <x:v>Proposal chuyển sang Approved</x:v>
      </x:c>
      <x:c r="I7" t="str">
        <x:v>AnhNVT</x:v>
      </x:c>
      <x:c r="J7" t="str">
        <x:v>High</x:v>
      </x:c>
      <x:c r="K7" s="34" t="n">
        <x:v>46187</x:v>
      </x:c>
      <x:c r="L7" t="str">
        <x:v>Chưa hoàn thành</x:v>
      </x:c>
      <x:c r="M7" t="str"/>
      <x:c r="N7" t="str"/>
    </x:row>
    <x:row r="8">
      <x:c r="A8" t="str">
        <x:v>TC007</x:v>
      </x:c>
      <x:c r="B8" t="str">
        <x:v>Week 2</x:v>
      </x:c>
      <x:c r="C8" t="str">
        <x:v>Registration &amp; RBL</x:v>
      </x:c>
      <x:c r="D8" t="str">
        <x:v>Duplicate Registration</x:v>
      </x:c>
      <x:c r="E8" t="str">
        <x:v>Chặn đăng ký trùng sự kiện</x:v>
      </x:c>
      <x:c r="F8" t="str">
        <x:v>Student đã đăng ký event</x:v>
      </x:c>
      <x:c r="G8" t="str">
        <x:v>1. Mở cùng event
2. Nhấn Register lần 2</x:v>
      </x:c>
      <x:c r="H8" t="str">
        <x:v>Hệ thống báo đã đăng ký</x:v>
      </x:c>
      <x:c r="I8" t="str">
        <x:v>TuHNC</x:v>
      </x:c>
      <x:c r="J8" t="str">
        <x:v>High</x:v>
      </x:c>
      <x:c r="K8" s="34" t="n">
        <x:v>46187</x:v>
      </x:c>
      <x:c r="L8" t="str">
        <x:v>Chưa hoàn thành</x:v>
      </x:c>
      <x:c r="M8" t="str"/>
      <x:c r="N8" t="str"/>
    </x:row>
    <x:row r="9">
      <x:c r="A9" t="str">
        <x:v>TC008</x:v>
      </x:c>
      <x:c r="B9" t="str">
        <x:v>Week 2</x:v>
      </x:c>
      <x:c r="C9" t="str">
        <x:v>Attendance</x:v>
      </x:c>
      <x:c r="D9" t="str">
        <x:v>QR Expiration</x:v>
      </x:c>
      <x:c r="E9" t="str">
        <x:v>QR cũ hết hạn sau 3 phút</x:v>
      </x:c>
      <x:c r="F9" t="str">
        <x:v>QR token đã tạo</x:v>
      </x:c>
      <x:c r="G9" t="str">
        <x:v>1. Chờ token hết hạn
2. Quét QR cũ</x:v>
      </x:c>
      <x:c r="H9" t="str">
        <x:v>Check-in bị từ chối</x:v>
      </x:c>
      <x:c r="I9" t="str">
        <x:v>SangTM</x:v>
      </x:c>
      <x:c r="J9" t="str">
        <x:v>High</x:v>
      </x:c>
      <x:c r="K9" s="34" t="n">
        <x:v>46187</x:v>
      </x:c>
      <x:c r="L9" t="str">
        <x:v>Chưa hoàn thành</x:v>
      </x:c>
      <x:c r="M9" t="str"/>
      <x:c r="N9" t="str"/>
    </x:row>
    <x:row r="10">
      <x:c r="A10" t="str">
        <x:v>TC009</x:v>
      </x:c>
      <x:c r="B10" t="str">
        <x:v>Week 3</x:v>
      </x:c>
      <x:c r="C10" t="str">
        <x:v>User Management</x:v>
      </x:c>
      <x:c r="D10" t="str">
        <x:v>Create User</x:v>
      </x:c>
      <x:c r="E10" t="str">
        <x:v>Admin tạo user mới</x:v>
      </x:c>
      <x:c r="F10" t="str">
        <x:v>Admin đã đăng nhập</x:v>
      </x:c>
      <x:c r="G10" t="str">
        <x:v>1. Mở User Management
2. Thêm user
3. Save</x:v>
      </x:c>
      <x:c r="H10" t="str">
        <x:v>User được tạo thành công</x:v>
      </x:c>
      <x:c r="I10" t="str">
        <x:v>DatHVT</x:v>
      </x:c>
      <x:c r="J10" t="str">
        <x:v>Medium</x:v>
      </x:c>
      <x:c r="K10" s="34" t="n">
        <x:v>46194</x:v>
      </x:c>
      <x:c r="L10" t="str">
        <x:v>Chưa hoàn thành</x:v>
      </x:c>
      <x:c r="M10" t="str"/>
      <x:c r="N10" t="str"/>
    </x:row>
    <x:row r="11">
      <x:c r="A11" t="str">
        <x:v>TC010</x:v>
      </x:c>
      <x:c r="B11" t="str">
        <x:v>Week 3</x:v>
      </x:c>
      <x:c r="C11" t="str">
        <x:v>Event Management</x:v>
      </x:c>
      <x:c r="D11" t="str">
        <x:v>Publish Event</x:v>
      </x:c>
      <x:c r="E11" t="str">
        <x:v>Publish sự kiện đã duyệt</x:v>
      </x:c>
      <x:c r="F11" t="str">
        <x:v>Event đã Approved</x:v>
      </x:c>
      <x:c r="G11" t="str">
        <x:v>1. Admin/Department publish event
2. Kiểm tra event list</x:v>
      </x:c>
      <x:c r="H11" t="str">
        <x:v>Event hiển thị cho student</x:v>
      </x:c>
      <x:c r="I11" t="str">
        <x:v>AnhNVT</x:v>
      </x:c>
      <x:c r="J11" t="str">
        <x:v>High</x:v>
      </x:c>
      <x:c r="K11" s="34" t="n">
        <x:v>46194</x:v>
      </x:c>
      <x:c r="L11" t="str">
        <x:v>Chưa hoàn thành</x:v>
      </x:c>
      <x:c r="M11" t="str"/>
      <x:c r="N11" t="str"/>
    </x:row>
    <x:row r="12">
      <x:c r="A12" t="str">
        <x:v>TC011</x:v>
      </x:c>
      <x:c r="B12" t="str">
        <x:v>Week 3</x:v>
      </x:c>
      <x:c r="C12" t="str">
        <x:v>Registration &amp; RBL</x:v>
      </x:c>
      <x:c r="D12" t="str">
        <x:v>Capacity Tracking</x:v>
      </x:c>
      <x:c r="E12" t="str">
        <x:v>Kiểm tra giới hạn số lượng tham gia</x:v>
      </x:c>
      <x:c r="F12" t="str">
        <x:v>Event có maxParticipants</x:v>
      </x:c>
      <x:c r="G12" t="str">
        <x:v>1. Đăng ký đủ slot
2. Student tiếp theo đăng ký</x:v>
      </x:c>
      <x:c r="H12" t="str">
        <x:v>Student tiếp theo vào waitlist</x:v>
      </x:c>
      <x:c r="I12" t="str">
        <x:v>TuHNC</x:v>
      </x:c>
      <x:c r="J12" t="str">
        <x:v>High</x:v>
      </x:c>
      <x:c r="K12" s="34" t="n">
        <x:v>46194</x:v>
      </x:c>
      <x:c r="L12" t="str">
        <x:v>Chưa hoàn thành</x:v>
      </x:c>
      <x:c r="M12" t="str"/>
      <x:c r="N12" t="str"/>
    </x:row>
    <x:row r="13">
      <x:c r="A13" t="str">
        <x:v>TC012</x:v>
      </x:c>
      <x:c r="B13" t="str">
        <x:v>Week 3</x:v>
      </x:c>
      <x:c r="C13" t="str">
        <x:v>Attendance</x:v>
      </x:c>
      <x:c r="D13" t="str">
        <x:v>Check-in Validation</x:v>
      </x:c>
      <x:c r="E13" t="str">
        <x:v>Sinh viên chưa đăng ký không được check-in</x:v>
      </x:c>
      <x:c r="F13" t="str">
        <x:v>Student chưa đăng ký event</x:v>
      </x:c>
      <x:c r="G13" t="str">
        <x:v>1. Quét QR
2. Submit check-in</x:v>
      </x:c>
      <x:c r="H13" t="str">
        <x:v>Hệ thống từ chối check-in</x:v>
      </x:c>
      <x:c r="I13" t="str">
        <x:v>SangTM</x:v>
      </x:c>
      <x:c r="J13" t="str">
        <x:v>High</x:v>
      </x:c>
      <x:c r="K13" s="34" t="n">
        <x:v>46194</x:v>
      </x:c>
      <x:c r="L13" t="str">
        <x:v>Chưa hoàn thành</x:v>
      </x:c>
      <x:c r="M13" t="str"/>
      <x:c r="N13" t="str"/>
    </x:row>
    <x:row r="14">
      <x:c r="A14" t="str">
        <x:v>TC013</x:v>
      </x:c>
      <x:c r="B14" t="str">
        <x:v>Week 4</x:v>
      </x:c>
      <x:c r="C14" t="str">
        <x:v>Authentication</x:v>
      </x:c>
      <x:c r="D14" t="str">
        <x:v>Logout</x:v>
      </x:c>
      <x:c r="E14" t="str">
        <x:v>Đăng xuất khỏi hệ thống</x:v>
      </x:c>
      <x:c r="F14" t="str">
        <x:v>User đã đăng nhập</x:v>
      </x:c>
      <x:c r="G14" t="str">
        <x:v>1. Nhấn Logout
2. Truy cập lại trang bảo vệ</x:v>
      </x:c>
      <x:c r="H14" t="str">
        <x:v>User bị yêu cầu đăng nhập lại</x:v>
      </x:c>
      <x:c r="I14" t="str">
        <x:v>DatHVT</x:v>
      </x:c>
      <x:c r="J14" t="str">
        <x:v>Medium</x:v>
      </x:c>
      <x:c r="K14" s="34" t="n">
        <x:v>46201</x:v>
      </x:c>
      <x:c r="L14" t="str">
        <x:v>Chưa hoàn thành</x:v>
      </x:c>
      <x:c r="M14" t="str"/>
      <x:c r="N14" t="str"/>
    </x:row>
    <x:row r="15">
      <x:c r="A15" t="str">
        <x:v>TC014</x:v>
      </x:c>
      <x:c r="B15" t="str">
        <x:v>Week 4</x:v>
      </x:c>
      <x:c r="C15" t="str">
        <x:v>Proposal</x:v>
      </x:c>
      <x:c r="D15" t="str">
        <x:v>Request Revision</x:v>
      </x:c>
      <x:c r="E15" t="str">
        <x:v>Committee yêu cầu sửa proposal</x:v>
      </x:c>
      <x:c r="F15" t="str">
        <x:v>Proposal Pending</x:v>
      </x:c>
      <x:c r="G15" t="str">
        <x:v>1. Nhấn Request Revision
2. Nhập lý do</x:v>
      </x:c>
      <x:c r="H15" t="str">
        <x:v>Proposal chuyển sang Revision Required</x:v>
      </x:c>
      <x:c r="I15" t="str">
        <x:v>AnhNVT</x:v>
      </x:c>
      <x:c r="J15" t="str">
        <x:v>Medium</x:v>
      </x:c>
      <x:c r="K15" s="34" t="n">
        <x:v>46201</x:v>
      </x:c>
      <x:c r="L15" t="str">
        <x:v>Chưa hoàn thành</x:v>
      </x:c>
      <x:c r="M15" t="str"/>
      <x:c r="N15" t="str"/>
    </x:row>
    <x:row r="16">
      <x:c r="A16" t="str">
        <x:v>TC015</x:v>
      </x:c>
      <x:c r="B16" t="str">
        <x:v>Week 4</x:v>
      </x:c>
      <x:c r="C16" t="str">
        <x:v>Registration &amp; RBL</x:v>
      </x:c>
      <x:c r="D16" t="str">
        <x:v>Priority Score</x:v>
      </x:c>
      <x:c r="E16" t="str">
        <x:v>Tính điểm ưu tiên đúng công thức</x:v>
      </x:c>
      <x:c r="F16" t="str">
        <x:v>Có dữ liệu student/event</x:v>
      </x:c>
      <x:c r="G16" t="str">
        <x:v>1. Đăng ký event
2. Kiểm tra PriorityScore</x:v>
      </x:c>
      <x:c r="H16" t="str">
        <x:v>Điểm = 0.4M+0.3S+0.2P+0.1T</x:v>
      </x:c>
      <x:c r="I16" t="str">
        <x:v>TuHNC</x:v>
      </x:c>
      <x:c r="J16" t="str">
        <x:v>High</x:v>
      </x:c>
      <x:c r="K16" s="34" t="n">
        <x:v>46201</x:v>
      </x:c>
      <x:c r="L16" t="str">
        <x:v>Chưa hoàn thành</x:v>
      </x:c>
      <x:c r="M16" t="str"/>
      <x:c r="N16" t="str"/>
    </x:row>
    <x:row r="17">
      <x:c r="A17" t="str">
        <x:v>TC016</x:v>
      </x:c>
      <x:c r="B17" t="str">
        <x:v>Week 4</x:v>
      </x:c>
      <x:c r="C17" t="str">
        <x:v>Attendance</x:v>
      </x:c>
      <x:c r="D17" t="str">
        <x:v>Duplicate Check-in</x:v>
      </x:c>
      <x:c r="E17" t="str">
        <x:v>Không cho check-in nhiều lần</x:v>
      </x:c>
      <x:c r="F17" t="str">
        <x:v>Student đã CHECKED_IN</x:v>
      </x:c>
      <x:c r="G17" t="str">
        <x:v>1. Quét QR lần 2</x:v>
      </x:c>
      <x:c r="H17" t="str">
        <x:v>Hệ thống báo đã check-in</x:v>
      </x:c>
      <x:c r="I17" t="str">
        <x:v>SangTM</x:v>
      </x:c>
      <x:c r="J17" t="str">
        <x:v>High</x:v>
      </x:c>
      <x:c r="K17" s="34" t="n">
        <x:v>46201</x:v>
      </x:c>
      <x:c r="L17" t="str">
        <x:v>Chưa hoàn thành</x:v>
      </x:c>
      <x:c r="M17" t="str"/>
      <x:c r="N17" t="str"/>
    </x:row>
    <x:row r="18">
      <x:c r="A18" t="str">
        <x:v>TC017</x:v>
      </x:c>
      <x:c r="B18" t="str">
        <x:v>Week 5</x:v>
      </x:c>
      <x:c r="C18" t="str">
        <x:v>Admin</x:v>
      </x:c>
      <x:c r="D18" t="str">
        <x:v>Role Update</x:v>
      </x:c>
      <x:c r="E18" t="str">
        <x:v>Admin đổi role user</x:v>
      </x:c>
      <x:c r="F18" t="str">
        <x:v>Admin đã đăng nhập</x:v>
      </x:c>
      <x:c r="G18" t="str">
        <x:v>1. Chọn user
2. Đổi role
3. Save</x:v>
      </x:c>
      <x:c r="H18" t="str">
        <x:v>Role được cập nhật chính xác</x:v>
      </x:c>
      <x:c r="I18" t="str">
        <x:v>DatHVT</x:v>
      </x:c>
      <x:c r="J18" t="str">
        <x:v>Medium</x:v>
      </x:c>
      <x:c r="K18" s="34" t="n">
        <x:v>46208</x:v>
      </x:c>
      <x:c r="L18" t="str">
        <x:v>Chưa hoàn thành</x:v>
      </x:c>
      <x:c r="M18" t="str"/>
      <x:c r="N18" t="str"/>
    </x:row>
    <x:row r="19">
      <x:c r="A19" t="str">
        <x:v>TC018</x:v>
      </x:c>
      <x:c r="B19" t="str">
        <x:v>Week 5</x:v>
      </x:c>
      <x:c r="C19" t="str">
        <x:v>Event Management</x:v>
      </x:c>
      <x:c r="D19" t="str">
        <x:v>Edit Event</x:v>
      </x:c>
      <x:c r="E19" t="str">
        <x:v>Sửa thông tin event</x:v>
      </x:c>
      <x:c r="F19" t="str">
        <x:v>Event tồn tại</x:v>
      </x:c>
      <x:c r="G19" t="str">
        <x:v>1. Mở edit event
2. Đổi thông tin
3. Save</x:v>
      </x:c>
      <x:c r="H19" t="str">
        <x:v>Event được cập nhật</x:v>
      </x:c>
      <x:c r="I19" t="str">
        <x:v>AnhNVT</x:v>
      </x:c>
      <x:c r="J19" t="str">
        <x:v>Medium</x:v>
      </x:c>
      <x:c r="K19" s="34" t="n">
        <x:v>46208</x:v>
      </x:c>
      <x:c r="L19" t="str">
        <x:v>Chưa hoàn thành</x:v>
      </x:c>
      <x:c r="M19" t="str"/>
      <x:c r="N19" t="str"/>
    </x:row>
    <x:row r="20">
      <x:c r="A20" t="str">
        <x:v>TC019</x:v>
      </x:c>
      <x:c r="B20" t="str">
        <x:v>Week 5</x:v>
      </x:c>
      <x:c r="C20" t="str">
        <x:v>Registration &amp; RBL</x:v>
      </x:c>
      <x:c r="D20" t="str">
        <x:v>Major Priority</x:v>
      </x:c>
      <x:c r="E20" t="str">
        <x:v>Sinh viên đúng chuyên ngành được điểm cao hơn</x:v>
      </x:c>
      <x:c r="F20" t="str">
        <x:v>Có student khác ngành/cùng ngành</x:v>
      </x:c>
      <x:c r="G20" t="str">
        <x:v>1. Tính điểm 2 student
2. So sánh</x:v>
      </x:c>
      <x:c r="H20" t="str">
        <x:v>Đúng chuyên ngành có M cao hơn</x:v>
      </x:c>
      <x:c r="I20" t="str">
        <x:v>TuHNC</x:v>
      </x:c>
      <x:c r="J20" t="str">
        <x:v>High</x:v>
      </x:c>
      <x:c r="K20" s="34" t="n">
        <x:v>46208</x:v>
      </x:c>
      <x:c r="L20" t="str">
        <x:v>Chưa hoàn thành</x:v>
      </x:c>
      <x:c r="M20" t="str"/>
      <x:c r="N20" t="str"/>
    </x:row>
    <x:row r="21">
      <x:c r="A21" t="str">
        <x:v>TC020</x:v>
      </x:c>
      <x:c r="B21" t="str">
        <x:v>Week 5</x:v>
      </x:c>
      <x:c r="C21" t="str">
        <x:v>Quiz &amp; Feedback</x:v>
      </x:c>
      <x:c r="D21" t="str">
        <x:v>Create Quiz</x:v>
      </x:c>
      <x:c r="E21" t="str">
        <x:v>Department tạo câu hỏi quiz</x:v>
      </x:c>
      <x:c r="F21" t="str">
        <x:v>Department đã đăng nhập</x:v>
      </x:c>
      <x:c r="G21" t="str">
        <x:v>1. Mở quiz management
2. Tạo câu hỏi
3. Save</x:v>
      </x:c>
      <x:c r="H21" t="str">
        <x:v>Quiz question được lưu</x:v>
      </x:c>
      <x:c r="I21" t="str">
        <x:v>SangTM</x:v>
      </x:c>
      <x:c r="J21" t="str">
        <x:v>High</x:v>
      </x:c>
      <x:c r="K21" s="34" t="n">
        <x:v>46208</x:v>
      </x:c>
      <x:c r="L21" t="str">
        <x:v>Chưa hoàn thành</x:v>
      </x:c>
      <x:c r="M21" t="str"/>
      <x:c r="N21" t="str"/>
    </x:row>
    <x:row r="22">
      <x:c r="A22" t="str">
        <x:v>TC021</x:v>
      </x:c>
      <x:c r="B22" t="str">
        <x:v>Week 6</x:v>
      </x:c>
      <x:c r="C22" t="str">
        <x:v>Authentication</x:v>
      </x:c>
      <x:c r="D22" t="str">
        <x:v>Password Validation</x:v>
      </x:c>
      <x:c r="E22" t="str">
        <x:v>Kiểm tra mật khẩu không hợp lệ</x:v>
      </x:c>
      <x:c r="F22" t="str">
        <x:v>Form register/reset password</x:v>
      </x:c>
      <x:c r="G22" t="str">
        <x:v>1. Nhập password quá ngắn
2. Submit</x:v>
      </x:c>
      <x:c r="H22" t="str">
        <x:v>Hệ thống hiển thị lỗi validation</x:v>
      </x:c>
      <x:c r="I22" t="str">
        <x:v>DatHVT</x:v>
      </x:c>
      <x:c r="J22" t="str">
        <x:v>Medium</x:v>
      </x:c>
      <x:c r="K22" s="34" t="n">
        <x:v>46215</x:v>
      </x:c>
      <x:c r="L22" t="str">
        <x:v>Chưa hoàn thành</x:v>
      </x:c>
      <x:c r="M22" t="str"/>
      <x:c r="N22" t="str"/>
    </x:row>
    <x:row r="23">
      <x:c r="A23" t="str">
        <x:v>TC022</x:v>
      </x:c>
      <x:c r="B23" t="str">
        <x:v>Week 6</x:v>
      </x:c>
      <x:c r="C23" t="str">
        <x:v>Event Management</x:v>
      </x:c>
      <x:c r="D23" t="str">
        <x:v>Search/Filter Event</x:v>
      </x:c>
      <x:c r="E23" t="str">
        <x:v>Tìm kiếm sự kiện theo khoa/chủ đề</x:v>
      </x:c>
      <x:c r="F23" t="str">
        <x:v>Có danh sách event</x:v>
      </x:c>
      <x:c r="G23" t="str">
        <x:v>1. Nhập từ khóa/filter
2. Search</x:v>
      </x:c>
      <x:c r="H23" t="str">
        <x:v>Danh sách lọc đúng</x:v>
      </x:c>
      <x:c r="I23" t="str">
        <x:v>AnhNVT</x:v>
      </x:c>
      <x:c r="J23" t="str">
        <x:v>Medium</x:v>
      </x:c>
      <x:c r="K23" s="34" t="n">
        <x:v>46215</x:v>
      </x:c>
      <x:c r="L23" t="str">
        <x:v>Chưa hoàn thành</x:v>
      </x:c>
      <x:c r="M23" t="str"/>
      <x:c r="N23" t="str"/>
    </x:row>
    <x:row r="24">
      <x:c r="A24" t="str">
        <x:v>TC023</x:v>
      </x:c>
      <x:c r="B24" t="str">
        <x:v>Week 6</x:v>
      </x:c>
      <x:c r="C24" t="str">
        <x:v>Registration &amp; RBL</x:v>
      </x:c>
      <x:c r="D24" t="str">
        <x:v>Semester Priority</x:v>
      </x:c>
      <x:c r="E24" t="str">
        <x:v>Sinh viên kỳ cuối được ưu tiên hơn</x:v>
      </x:c>
      <x:c r="F24" t="str">
        <x:v>Có student kỳ thấp/cao</x:v>
      </x:c>
      <x:c r="G24" t="str">
        <x:v>1. Tính điểm S
2. So sánh</x:v>
      </x:c>
      <x:c r="H24" t="str">
        <x:v>Kỳ cao có S cao hơn</x:v>
      </x:c>
      <x:c r="I24" t="str">
        <x:v>TuHNC</x:v>
      </x:c>
      <x:c r="J24" t="str">
        <x:v>High</x:v>
      </x:c>
      <x:c r="K24" s="34" t="n">
        <x:v>46215</x:v>
      </x:c>
      <x:c r="L24" t="str">
        <x:v>Chưa hoàn thành</x:v>
      </x:c>
      <x:c r="M24" t="str"/>
      <x:c r="N24" t="str"/>
    </x:row>
    <x:row r="25">
      <x:c r="A25" t="str">
        <x:v>TC024</x:v>
      </x:c>
      <x:c r="B25" t="str">
        <x:v>Week 6</x:v>
      </x:c>
      <x:c r="C25" t="str">
        <x:v>Quiz &amp; Feedback</x:v>
      </x:c>
      <x:c r="D25" t="str">
        <x:v>Random Quiz</x:v>
      </x:c>
      <x:c r="E25" t="str">
        <x:v>Checkout random câu hỏi từ question pool</x:v>
      </x:c>
      <x:c r="F25" t="str">
        <x:v>Event có nhiều câu hỏi</x:v>
      </x:c>
      <x:c r="G25" t="str">
        <x:v>1. Student mở checkout
2. Kiểm tra câu hỏi</x:v>
      </x:c>
      <x:c r="H25" t="str">
        <x:v>Hệ thống random đúng số câu</x:v>
      </x:c>
      <x:c r="I25" t="str">
        <x:v>SangTM</x:v>
      </x:c>
      <x:c r="J25" t="str">
        <x:v>High</x:v>
      </x:c>
      <x:c r="K25" s="34" t="n">
        <x:v>46215</x:v>
      </x:c>
      <x:c r="L25" t="str">
        <x:v>Chưa hoàn thành</x:v>
      </x:c>
      <x:c r="M25" t="str"/>
      <x:c r="N25" t="str"/>
    </x:row>
    <x:row r="26">
      <x:c r="A26" t="str">
        <x:v>TC025</x:v>
      </x:c>
      <x:c r="B26" t="str">
        <x:v>Week 7</x:v>
      </x:c>
      <x:c r="C26" t="str">
        <x:v>Security</x:v>
      </x:c>
      <x:c r="D26" t="str">
        <x:v>Direct URL Access</x:v>
      </x:c>
      <x:c r="E26" t="str">
        <x:v>Chặn truy cập URL trái quyền</x:v>
      </x:c>
      <x:c r="F26" t="str">
        <x:v>User không có role phù hợp</x:v>
      </x:c>
      <x:c r="G26" t="str">
        <x:v>1. Nhập URL trực tiếp</x:v>
      </x:c>
      <x:c r="H26" t="str">
        <x:v>Access denied/redirect login</x:v>
      </x:c>
      <x:c r="I26" t="str">
        <x:v>DatHVT</x:v>
      </x:c>
      <x:c r="J26" t="str">
        <x:v>High</x:v>
      </x:c>
      <x:c r="K26" s="34" t="n">
        <x:v>46222</x:v>
      </x:c>
      <x:c r="L26" t="str">
        <x:v>Chưa hoàn thành</x:v>
      </x:c>
      <x:c r="M26" t="str"/>
      <x:c r="N26" t="str"/>
    </x:row>
    <x:row r="27">
      <x:c r="A27" t="str">
        <x:v>TC026</x:v>
      </x:c>
      <x:c r="B27" t="str">
        <x:v>Week 7</x:v>
      </x:c>
      <x:c r="C27" t="str">
        <x:v>Event Management</x:v>
      </x:c>
      <x:c r="D27" t="str">
        <x:v>Cancel Event</x:v>
      </x:c>
      <x:c r="E27" t="str">
        <x:v>Hủy sự kiện</x:v>
      </x:c>
      <x:c r="F27" t="str">
        <x:v>Event tồn tại</x:v>
      </x:c>
      <x:c r="G27" t="str">
        <x:v>1. Nhấn Cancel
2. Nhập lý do</x:v>
      </x:c>
      <x:c r="H27" t="str">
        <x:v>Event chuyển Cancelled</x:v>
      </x:c>
      <x:c r="I27" t="str">
        <x:v>AnhNVT</x:v>
      </x:c>
      <x:c r="J27" t="str">
        <x:v>Medium</x:v>
      </x:c>
      <x:c r="K27" s="34" t="n">
        <x:v>46222</x:v>
      </x:c>
      <x:c r="L27" t="str">
        <x:v>Chưa hoàn thành</x:v>
      </x:c>
      <x:c r="M27" t="str"/>
      <x:c r="N27" t="str"/>
    </x:row>
    <x:row r="28">
      <x:c r="A28" t="str">
        <x:v>TC027</x:v>
      </x:c>
      <x:c r="B28" t="str">
        <x:v>Week 7</x:v>
      </x:c>
      <x:c r="C28" t="str">
        <x:v>Registration &amp; RBL</x:v>
      </x:c>
      <x:c r="D28" t="str">
        <x:v>Point Normalization</x:v>
      </x:c>
      <x:c r="E28" t="str">
        <x:v>Điểm tích lũy &gt;100 được xử lý đúng</x:v>
      </x:c>
      <x:c r="F28" t="str">
        <x:v>Student có totalPoints &gt;100</x:v>
      </x:c>
      <x:c r="G28" t="str">
        <x:v>1. Tính điểm P
2. Kiểm tra cap/normalize</x:v>
      </x:c>
      <x:c r="H28" t="str">
        <x:v>P không vượt quá 100</x:v>
      </x:c>
      <x:c r="I28" t="str">
        <x:v>TuHNC</x:v>
      </x:c>
      <x:c r="J28" t="str">
        <x:v>High</x:v>
      </x:c>
      <x:c r="K28" s="34" t="n">
        <x:v>46222</x:v>
      </x:c>
      <x:c r="L28" t="str">
        <x:v>Chưa hoàn thành</x:v>
      </x:c>
      <x:c r="M28" t="str"/>
      <x:c r="N28" t="str"/>
    </x:row>
    <x:row r="29">
      <x:c r="A29" t="str">
        <x:v>TC028</x:v>
      </x:c>
      <x:c r="B29" t="str">
        <x:v>Week 7</x:v>
      </x:c>
      <x:c r="C29" t="str">
        <x:v>Quiz &amp; Feedback</x:v>
      </x:c>
      <x:c r="D29" t="str">
        <x:v>Submit Feedback</x:v>
      </x:c>
      <x:c r="E29" t="str">
        <x:v>Student gửi feedback checkout</x:v>
      </x:c>
      <x:c r="F29" t="str">
        <x:v>Student đã check-in</x:v>
      </x:c>
      <x:c r="G29" t="str">
        <x:v>1. Điền rating/comment
2. Submit</x:v>
      </x:c>
      <x:c r="H29" t="str">
        <x:v>Feedback được lưu</x:v>
      </x:c>
      <x:c r="I29" t="str">
        <x:v>SangTM</x:v>
      </x:c>
      <x:c r="J29" t="str">
        <x:v>High</x:v>
      </x:c>
      <x:c r="K29" s="34" t="n">
        <x:v>46222</x:v>
      </x:c>
      <x:c r="L29" t="str">
        <x:v>Chưa hoàn thành</x:v>
      </x:c>
      <x:c r="M29" t="str"/>
      <x:c r="N29" t="str"/>
    </x:row>
    <x:row r="30">
      <x:c r="A30" t="str">
        <x:v>TC029</x:v>
      </x:c>
      <x:c r="B30" t="str">
        <x:v>Week 8</x:v>
      </x:c>
      <x:c r="C30" t="str">
        <x:v>Admin</x:v>
      </x:c>
      <x:c r="D30" t="str">
        <x:v>Activity Log</x:v>
      </x:c>
      <x:c r="E30" t="str">
        <x:v>Ghi log thao tác quan trọng</x:v>
      </x:c>
      <x:c r="F30" t="str">
        <x:v>Admin thao tác hệ thống</x:v>
      </x:c>
      <x:c r="G30" t="str">
        <x:v>1. Update user/event
2. Mở activity log</x:v>
      </x:c>
      <x:c r="H30" t="str">
        <x:v>Log được ghi đúng</x:v>
      </x:c>
      <x:c r="I30" t="str">
        <x:v>DatHVT</x:v>
      </x:c>
      <x:c r="J30" t="str">
        <x:v>Low</x:v>
      </x:c>
      <x:c r="K30" s="34" t="n">
        <x:v>46229</x:v>
      </x:c>
      <x:c r="L30" t="str">
        <x:v>Chưa hoàn thành</x:v>
      </x:c>
      <x:c r="M30" t="str"/>
      <x:c r="N30" t="str"/>
    </x:row>
    <x:row r="31">
      <x:c r="A31" t="str">
        <x:v>TC030</x:v>
      </x:c>
      <x:c r="B31" t="str">
        <x:v>Week 8</x:v>
      </x:c>
      <x:c r="C31" t="str">
        <x:v>Approval Workflow</x:v>
      </x:c>
      <x:c r="D31" t="str">
        <x:v>Reject Proposal</x:v>
      </x:c>
      <x:c r="E31" t="str">
        <x:v>Committee từ chối proposal</x:v>
      </x:c>
      <x:c r="F31" t="str">
        <x:v>Proposal Pending</x:v>
      </x:c>
      <x:c r="G31" t="str">
        <x:v>1. Nhấn Reject
2. Nhập lý do</x:v>
      </x:c>
      <x:c r="H31" t="str">
        <x:v>Proposal chuyển Rejected</x:v>
      </x:c>
      <x:c r="I31" t="str">
        <x:v>AnhNVT</x:v>
      </x:c>
      <x:c r="J31" t="str">
        <x:v>Medium</x:v>
      </x:c>
      <x:c r="K31" s="34" t="n">
        <x:v>46229</x:v>
      </x:c>
      <x:c r="L31" t="str">
        <x:v>Chưa hoàn thành</x:v>
      </x:c>
      <x:c r="M31" t="str"/>
      <x:c r="N31" t="str"/>
    </x:row>
    <x:row r="32">
      <x:c r="A32" t="str">
        <x:v>TC031</x:v>
      </x:c>
      <x:c r="B32" t="str">
        <x:v>Week 8</x:v>
      </x:c>
      <x:c r="C32" t="str">
        <x:v>Registration &amp; RBL</x:v>
      </x:c>
      <x:c r="D32" t="str">
        <x:v>Waitlist Promotion</x:v>
      </x:c>
      <x:c r="E32" t="str">
        <x:v>Đưa waitlist lên khi có slot trống</x:v>
      </x:c>
      <x:c r="F32" t="str">
        <x:v>Event full có waitlist</x:v>
      </x:c>
      <x:c r="G32" t="str">
        <x:v>1. Hủy 1 registration
2. Kiểm tra waitlist</x:v>
      </x:c>
      <x:c r="H32" t="str">
        <x:v>Student waitlist được promote</x:v>
      </x:c>
      <x:c r="I32" t="str">
        <x:v>TuHNC</x:v>
      </x:c>
      <x:c r="J32" t="str">
        <x:v>High</x:v>
      </x:c>
      <x:c r="K32" s="34" t="n">
        <x:v>46229</x:v>
      </x:c>
      <x:c r="L32" t="str">
        <x:v>Chưa hoàn thành</x:v>
      </x:c>
      <x:c r="M32" t="str"/>
      <x:c r="N32" t="str"/>
    </x:row>
    <x:row r="33">
      <x:c r="A33" t="str">
        <x:v>TC032</x:v>
      </x:c>
      <x:c r="B33" t="str">
        <x:v>Week 8</x:v>
      </x:c>
      <x:c r="C33" t="str">
        <x:v>Attendance</x:v>
      </x:c>
      <x:c r="D33" t="str">
        <x:v>Mid-session Verification</x:v>
      </x:c>
      <x:c r="E33" t="str">
        <x:v>Xác minh giữa buổi</x:v>
      </x:c>
      <x:c r="F33" t="str">
        <x:v>Student đã CHECKED_IN</x:v>
      </x:c>
      <x:c r="G33" t="str">
        <x:v>1. Department mở mid code
2. Student submit</x:v>
      </x:c>
      <x:c r="H33" t="str">
        <x:v>Status chuyển MID_VERIFIED</x:v>
      </x:c>
      <x:c r="I33" t="str">
        <x:v>SangTM</x:v>
      </x:c>
      <x:c r="J33" t="str">
        <x:v>High</x:v>
      </x:c>
      <x:c r="K33" s="34" t="n">
        <x:v>46229</x:v>
      </x:c>
      <x:c r="L33" t="str">
        <x:v>Chưa hoàn thành</x:v>
      </x:c>
      <x:c r="M33" t="str"/>
      <x:c r="N33" t="str"/>
    </x:row>
    <x:row r="34">
      <x:c r="A34" t="str">
        <x:v>TC033</x:v>
      </x:c>
      <x:c r="B34" t="str">
        <x:v>Week 9</x:v>
      </x:c>
      <x:c r="C34" t="str">
        <x:v>Authentication</x:v>
      </x:c>
      <x:c r="D34" t="str">
        <x:v>Session Timeout</x:v>
      </x:c>
      <x:c r="E34" t="str">
        <x:v>Phiên đăng nhập hết hạn</x:v>
      </x:c>
      <x:c r="F34" t="str">
        <x:v>User đã đăng nhập lâu</x:v>
      </x:c>
      <x:c r="G34" t="str">
        <x:v>1. Chờ timeout
2. Thao tác tiếp</x:v>
      </x:c>
      <x:c r="H34" t="str">
        <x:v>Hệ thống yêu cầu login lại</x:v>
      </x:c>
      <x:c r="I34" t="str">
        <x:v>DatHVT</x:v>
      </x:c>
      <x:c r="J34" t="str">
        <x:v>Medium</x:v>
      </x:c>
      <x:c r="K34" s="34" t="n">
        <x:v>46236</x:v>
      </x:c>
      <x:c r="L34" t="str">
        <x:v>Chưa hoàn thành</x:v>
      </x:c>
      <x:c r="M34" t="str"/>
      <x:c r="N34" t="str"/>
    </x:row>
    <x:row r="35">
      <x:c r="A35" t="str">
        <x:v>TC034</x:v>
      </x:c>
      <x:c r="B35" t="str">
        <x:v>Week 9</x:v>
      </x:c>
      <x:c r="C35" t="str">
        <x:v>Event Management</x:v>
      </x:c>
      <x:c r="D35" t="str">
        <x:v>Event Detail Page</x:v>
      </x:c>
      <x:c r="E35" t="str">
        <x:v>Trang chi tiết event hiển thị đủ thông tin</x:v>
      </x:c>
      <x:c r="F35" t="str">
        <x:v>Event tồn tại</x:v>
      </x:c>
      <x:c r="G35" t="str">
        <x:v>1. Click View Detail</x:v>
      </x:c>
      <x:c r="H35" t="str">
        <x:v>Hiển thị title, time, location, capacity, department</x:v>
      </x:c>
      <x:c r="I35" t="str">
        <x:v>AnhNVT</x:v>
      </x:c>
      <x:c r="J35" t="str">
        <x:v>Medium</x:v>
      </x:c>
      <x:c r="K35" s="34" t="n">
        <x:v>46236</x:v>
      </x:c>
      <x:c r="L35" t="str">
        <x:v>Chưa hoàn thành</x:v>
      </x:c>
      <x:c r="M35" t="str"/>
      <x:c r="N35" t="str"/>
    </x:row>
    <x:row r="36">
      <x:c r="A36" t="str">
        <x:v>TC035</x:v>
      </x:c>
      <x:c r="B36" t="str">
        <x:v>Week 9</x:v>
      </x:c>
      <x:c r="C36" t="str">
        <x:v>Registration &amp; RBL</x:v>
      </x:c>
      <x:c r="D36" t="str">
        <x:v>No-show Penalty</x:v>
      </x:c>
      <x:c r="E36" t="str">
        <x:v>Ghi nhận sinh viên đăng ký nhưng không đi</x:v>
      </x:c>
      <x:c r="F36" t="str">
        <x:v>Student registered không check-in</x:v>
      </x:c>
      <x:c r="G36" t="str">
        <x:v>1. Kết thúc check-in
2. Mark absent</x:v>
      </x:c>
      <x:c r="H36" t="str">
        <x:v>No-show count tăng</x:v>
      </x:c>
      <x:c r="I36" t="str">
        <x:v>TuHNC</x:v>
      </x:c>
      <x:c r="J36" t="str">
        <x:v>High</x:v>
      </x:c>
      <x:c r="K36" s="34" t="n">
        <x:v>46236</x:v>
      </x:c>
      <x:c r="L36" t="str">
        <x:v>Chưa hoàn thành</x:v>
      </x:c>
      <x:c r="M36" t="str"/>
      <x:c r="N36" t="str"/>
    </x:row>
    <x:row r="37">
      <x:c r="A37" t="str">
        <x:v>TC036</x:v>
      </x:c>
      <x:c r="B37" t="str">
        <x:v>Week 9</x:v>
      </x:c>
      <x:c r="C37" t="str">
        <x:v>Dashboard</x:v>
      </x:c>
      <x:c r="D37" t="str">
        <x:v>Feedback Statistics</x:v>
      </x:c>
      <x:c r="E37" t="str">
        <x:v>Department xem thống kê feedback</x:v>
      </x:c>
      <x:c r="F37" t="str">
        <x:v>Có feedback đã submit</x:v>
      </x:c>
      <x:c r="G37" t="str">
        <x:v>1. Mở statistics page</x:v>
      </x:c>
      <x:c r="H37" t="str">
        <x:v>Hiển thị average rating/comment</x:v>
      </x:c>
      <x:c r="I37" t="str">
        <x:v>SangTM</x:v>
      </x:c>
      <x:c r="J37" t="str">
        <x:v>High</x:v>
      </x:c>
      <x:c r="K37" s="34" t="n">
        <x:v>46236</x:v>
      </x:c>
      <x:c r="L37" t="str">
        <x:v>Chưa hoàn thành</x:v>
      </x:c>
      <x:c r="M37" t="str"/>
      <x:c r="N37" t="str"/>
    </x:row>
    <x:row r="38">
      <x:c r="A38" t="str">
        <x:v>TC037</x:v>
      </x:c>
      <x:c r="B38" t="str">
        <x:v>Week 10</x:v>
      </x:c>
      <x:c r="C38" t="str">
        <x:v>System</x:v>
      </x:c>
      <x:c r="D38" t="str">
        <x:v>Regression Test</x:v>
      </x:c>
      <x:c r="E38" t="str">
        <x:v>Kiểm tra lại luồng auth sau fix lỗi</x:v>
      </x:c>
      <x:c r="F38" t="str">
        <x:v>Build cuối cùng</x:v>
      </x:c>
      <x:c r="G38" t="str">
        <x:v>1. Chạy lại test login/role</x:v>
      </x:c>
      <x:c r="H38" t="str">
        <x:v>Không phát sinh lỗi cũ</x:v>
      </x:c>
      <x:c r="I38" t="str">
        <x:v>DatHVT</x:v>
      </x:c>
      <x:c r="J38" t="str">
        <x:v>High</x:v>
      </x:c>
      <x:c r="K38" s="34" t="n">
        <x:v>46243</x:v>
      </x:c>
      <x:c r="L38" t="str">
        <x:v>Chưa hoàn thành</x:v>
      </x:c>
      <x:c r="M38" t="str"/>
      <x:c r="N38" t="str"/>
    </x:row>
    <x:row r="39">
      <x:c r="A39" t="str">
        <x:v>TC038</x:v>
      </x:c>
      <x:c r="B39" t="str">
        <x:v>Week 10</x:v>
      </x:c>
      <x:c r="C39" t="str">
        <x:v>System</x:v>
      </x:c>
      <x:c r="D39" t="str">
        <x:v>End-to-end Proposal Flow</x:v>
      </x:c>
      <x:c r="E39" t="str">
        <x:v>Test từ tạo proposal đến publish</x:v>
      </x:c>
      <x:c r="F39" t="str">
        <x:v>Build cuối cùng</x:v>
      </x:c>
      <x:c r="G39" t="str">
        <x:v>1. Department tạo
2. Committee duyệt
3. Publish</x:v>
      </x:c>
      <x:c r="H39" t="str">
        <x:v>Luồng hoàn chỉnh hoạt động</x:v>
      </x:c>
      <x:c r="I39" t="str">
        <x:v>AnhNVT</x:v>
      </x:c>
      <x:c r="J39" t="str">
        <x:v>High</x:v>
      </x:c>
      <x:c r="K39" s="34" t="n">
        <x:v>46243</x:v>
      </x:c>
      <x:c r="L39" t="str">
        <x:v>Chưa hoàn thành</x:v>
      </x:c>
      <x:c r="M39" t="str"/>
      <x:c r="N39" t="str"/>
    </x:row>
    <x:row r="40">
      <x:c r="A40" t="str">
        <x:v>TC039</x:v>
      </x:c>
      <x:c r="B40" t="str">
        <x:v>Week 10</x:v>
      </x:c>
      <x:c r="C40" t="str">
        <x:v>System</x:v>
      </x:c>
      <x:c r="D40" t="str">
        <x:v>End-to-end Registration/RBL</x:v>
      </x:c>
      <x:c r="E40" t="str">
        <x:v>Test đăng ký + RBL + waitlist</x:v>
      </x:c>
      <x:c r="F40" t="str">
        <x:v>Build cuối cùng</x:v>
      </x:c>
      <x:c r="G40" t="str">
        <x:v>1. Student đăng ký
2. Tính priority
3. Capacity/waitlist</x:v>
      </x:c>
      <x:c r="H40" t="str">
        <x:v>Kết quả đúng theo rule</x:v>
      </x:c>
      <x:c r="I40" t="str">
        <x:v>TuHNC</x:v>
      </x:c>
      <x:c r="J40" t="str">
        <x:v>High</x:v>
      </x:c>
      <x:c r="K40" s="34" t="n">
        <x:v>46243</x:v>
      </x:c>
      <x:c r="L40" t="str">
        <x:v>Chưa hoàn thành</x:v>
      </x:c>
      <x:c r="M40" t="str"/>
      <x:c r="N40" t="str"/>
    </x:row>
    <x:row r="41">
      <x:c r="A41" t="str">
        <x:v>TC040</x:v>
      </x:c>
      <x:c r="B41" t="str">
        <x:v>Week 10</x:v>
      </x:c>
      <x:c r="C41" t="str">
        <x:v>System</x:v>
      </x:c>
      <x:c r="D41" t="str">
        <x:v>End-to-end Attendance/Checkout</x:v>
      </x:c>
      <x:c r="E41" t="str">
        <x:v>Test check-in, mid, quiz, feedback</x:v>
      </x:c>
      <x:c r="F41" t="str">
        <x:v>Build cuối cùng</x:v>
      </x:c>
      <x:c r="G41" t="str">
        <x:v>1. Quét QR
2. Mid verify
3. Quiz feedback</x:v>
      </x:c>
      <x:c r="H41" t="str">
        <x:v>Status COMPLETED và dashboard cập nhật</x:v>
      </x:c>
      <x:c r="I41" t="str">
        <x:v>SangTM</x:v>
      </x:c>
      <x:c r="J41" t="str">
        <x:v>High</x:v>
      </x:c>
      <x:c r="K41" s="34" t="n">
        <x:v>46243</x:v>
      </x:c>
      <x:c r="L41" t="str">
        <x:v>Chưa hoàn thành</x:v>
      </x:c>
      <x:c r="M41" t="str"/>
      <x:c r="N41" t="str"/>
    </x:row>
    <x:row r="42">
      <x:c r="K42" s="34"/>
    </x:row>
    <x:row r="43">
      <x:c r="K43" s="34"/>
    </x:row>
    <x:row r="44">
      <x:c r="K44" s="34"/>
    </x:row>
    <x:row r="45">
      <x:c r="K45" s="34"/>
    </x:row>
    <x:row r="46">
      <x:c r="K46" s="34"/>
    </x:row>
    <x:row r="47">
      <x:c r="K47" s="34"/>
    </x:row>
    <x:row r="48">
      <x:c r="K48" s="34"/>
    </x:row>
    <x:row r="49">
      <x:c r="K49" s="34"/>
    </x:row>
    <x:row r="50">
      <x:c r="K50" s="34"/>
    </x:row>
    <x:row r="51">
      <x:c r="K51" s="34"/>
    </x:row>
    <x:row r="52">
      <x:c r="K52" s="34"/>
    </x:row>
    <x:row r="53">
      <x:c r="K53" s="34"/>
    </x:row>
    <x:row r="54">
      <x:c r="K54" s="34"/>
    </x:row>
    <x:row r="55">
      <x:c r="K55" s="34"/>
    </x:row>
    <x:row r="56">
      <x:c r="K56" s="34"/>
    </x:row>
    <x:row r="57">
      <x:c r="K57" s="34"/>
    </x:row>
    <x:row r="58">
      <x:c r="K58" s="34"/>
    </x:row>
    <x:row r="59">
      <x:c r="K59" s="34"/>
    </x:row>
    <x:row r="60">
      <x:c r="K60" s="34"/>
    </x:row>
    <x:row r="61">
      <x:c r="K61" s="34"/>
    </x:row>
    <x:row r="62">
      <x:c r="K62" s="34"/>
    </x:row>
    <x:row r="63">
      <x:c r="K63" s="34"/>
    </x:row>
    <x:row r="64">
      <x:c r="K64" s="34"/>
    </x:row>
    <x:row r="65">
      <x:c r="K65" s="34"/>
    </x:row>
    <x:row r="66">
      <x:c r="K66" s="34"/>
    </x:row>
    <x:row r="67">
      <x:c r="K67" s="34"/>
    </x:row>
    <x:row r="68">
      <x:c r="K68" s="34"/>
    </x:row>
    <x:row r="69">
      <x:c r="K69" s="34"/>
    </x:row>
    <x:row r="70">
      <x:c r="K70" s="34"/>
    </x:row>
    <x:row r="71">
      <x:c r="K71" s="34"/>
    </x:row>
    <x:row r="72">
      <x:c r="K72" s="34"/>
    </x:row>
    <x:row r="73">
      <x:c r="K73" s="34"/>
    </x:row>
    <x:row r="74">
      <x:c r="K74" s="34"/>
    </x:row>
    <x:row r="75">
      <x:c r="K75" s="34"/>
    </x:row>
    <x:row r="76">
      <x:c r="K76" s="34"/>
    </x:row>
    <x:row r="77">
      <x:c r="K77" s="34"/>
    </x:row>
    <x:row r="78">
      <x:c r="K78" s="34"/>
    </x:row>
    <x:row r="79">
      <x:c r="K79" s="34"/>
    </x:row>
    <x:row r="80">
      <x:c r="K80" s="34"/>
    </x:row>
    <x:row r="81">
      <x:c r="K81" s="34"/>
    </x:row>
    <x:row r="82">
      <x:c r="K82" s="34"/>
    </x:row>
    <x:row r="83">
      <x:c r="K83" s="34"/>
    </x:row>
    <x:row r="84">
      <x:c r="K84" s="34"/>
    </x:row>
    <x:row r="85">
      <x:c r="K85" s="34"/>
    </x:row>
    <x:row r="86">
      <x:c r="K86" s="34"/>
    </x:row>
    <x:row r="87">
      <x:c r="K87" s="34"/>
    </x:row>
    <x:row r="88">
      <x:c r="K88" s="34"/>
    </x:row>
    <x:row r="89">
      <x:c r="K89" s="34"/>
    </x:row>
    <x:row r="90">
      <x:c r="K90" s="34"/>
    </x:row>
    <x:row r="91">
      <x:c r="K91" s="34"/>
    </x:row>
    <x:row r="92">
      <x:c r="K92" s="34"/>
    </x:row>
    <x:row r="93">
      <x:c r="K93" s="34"/>
    </x:row>
    <x:row r="94">
      <x:c r="K94" s="34"/>
    </x:row>
    <x:row r="95">
      <x:c r="K95" s="34"/>
    </x:row>
    <x:row r="96">
      <x:c r="K96" s="34"/>
    </x:row>
    <x:row r="97">
      <x:c r="K97" s="34"/>
    </x:row>
    <x:row r="98">
      <x:c r="K98" s="34"/>
    </x:row>
    <x:row r="99">
      <x:c r="K99" s="34"/>
    </x:row>
    <x:row r="100">
      <x:c r="K100" s="34"/>
    </x:row>
    <x:row r="101">
      <x:c r="K101" s="34"/>
    </x:row>
    <x:row r="102">
      <x:c r="K102" s="34"/>
    </x:row>
    <x:row r="103">
      <x:c r="K103" s="34"/>
    </x:row>
    <x:row r="104">
      <x:c r="K104" s="34"/>
    </x:row>
    <x:row r="105">
      <x:c r="K105" s="34"/>
    </x:row>
    <x:row r="106">
      <x:c r="K106" s="34"/>
    </x:row>
    <x:row r="107">
      <x:c r="K107" s="34"/>
    </x:row>
    <x:row r="108">
      <x:c r="K108" s="34"/>
    </x:row>
    <x:row r="109">
      <x:c r="K109" s="34"/>
    </x:row>
    <x:row r="110">
      <x:c r="K110" s="34"/>
    </x:row>
    <x:row r="111">
      <x:c r="K111" s="34"/>
    </x:row>
    <x:row r="112">
      <x:c r="K112" s="34"/>
    </x:row>
    <x:row r="113">
      <x:c r="K113" s="34"/>
    </x:row>
    <x:row r="114">
      <x:c r="K114" s="34"/>
    </x:row>
    <x:row r="115">
      <x:c r="K115" s="34"/>
    </x:row>
    <x:row r="116">
      <x:c r="K116" s="34"/>
    </x:row>
    <x:row r="117">
      <x:c r="K117" s="34"/>
    </x:row>
    <x:row r="118">
      <x:c r="K118" s="34"/>
    </x:row>
    <x:row r="119">
      <x:c r="K119" s="34"/>
    </x:row>
    <x:row r="120">
      <x:c r="K120" s="34"/>
    </x:row>
    <x:row r="121">
      <x:c r="K121" s="34"/>
    </x:row>
    <x:row r="122">
      <x:c r="K122" s="34"/>
    </x:row>
    <x:row r="123">
      <x:c r="K123" s="34"/>
    </x:row>
    <x:row r="124">
      <x:c r="K124" s="34"/>
    </x:row>
    <x:row r="125">
      <x:c r="K125" s="34"/>
    </x:row>
    <x:row r="126">
      <x:c r="K126" s="34"/>
    </x:row>
    <x:row r="127">
      <x:c r="K127" s="34"/>
    </x:row>
    <x:row r="128">
      <x:c r="K128" s="34"/>
    </x:row>
    <x:row r="129">
      <x:c r="K129" s="34"/>
    </x:row>
    <x:row r="130">
      <x:c r="K130" s="34"/>
    </x:row>
    <x:row r="131">
      <x:c r="K131" s="34"/>
    </x:row>
    <x:row r="132">
      <x:c r="K132" s="34"/>
    </x:row>
    <x:row r="133">
      <x:c r="K133" s="34"/>
    </x:row>
    <x:row r="134">
      <x:c r="K134" s="34"/>
    </x:row>
    <x:row r="135">
      <x:c r="K135" s="34"/>
    </x:row>
    <x:row r="136">
      <x:c r="K136" s="34"/>
    </x:row>
    <x:row r="137">
      <x:c r="K137" s="34"/>
    </x:row>
    <x:row r="138">
      <x:c r="K138" s="34"/>
    </x:row>
    <x:row r="139">
      <x:c r="K139" s="34"/>
    </x:row>
    <x:row r="140">
      <x:c r="K140" s="34"/>
    </x:row>
    <x:row r="141">
      <x:c r="K141" s="34"/>
    </x:row>
    <x:row r="142">
      <x:c r="K142" s="34"/>
    </x:row>
    <x:row r="143">
      <x:c r="K143" s="34"/>
    </x:row>
    <x:row r="144">
      <x:c r="K144" s="34"/>
    </x:row>
    <x:row r="145">
      <x:c r="K145" s="34"/>
    </x:row>
    <x:row r="146">
      <x:c r="K146" s="34"/>
    </x:row>
    <x:row r="147">
      <x:c r="K147" s="34"/>
    </x:row>
    <x:row r="148">
      <x:c r="K148" s="34"/>
    </x:row>
    <x:row r="149">
      <x:c r="K149" s="34"/>
    </x:row>
    <x:row r="150">
      <x:c r="K150" s="34"/>
    </x:row>
    <x:row r="151">
      <x:c r="K151" s="34"/>
    </x:row>
    <x:row r="152">
      <x:c r="K152" s="34"/>
    </x:row>
    <x:row r="153">
      <x:c r="K153" s="34"/>
    </x:row>
    <x:row r="154">
      <x:c r="K154" s="34"/>
    </x:row>
    <x:row r="155">
      <x:c r="K155" s="34"/>
    </x:row>
    <x:row r="156">
      <x:c r="K156" s="34"/>
    </x:row>
    <x:row r="157">
      <x:c r="K157" s="34"/>
    </x:row>
    <x:row r="158">
      <x:c r="K158" s="34"/>
    </x:row>
    <x:row r="159">
      <x:c r="K159" s="34"/>
    </x:row>
    <x:row r="160">
      <x:c r="K160" s="34"/>
    </x:row>
    <x:row r="161">
      <x:c r="K161" s="34"/>
    </x:row>
    <x:row r="162">
      <x:c r="K162" s="34"/>
    </x:row>
    <x:row r="163">
      <x:c r="K163" s="34"/>
    </x:row>
    <x:row r="164">
      <x:c r="K164" s="34"/>
    </x:row>
    <x:row r="165">
      <x:c r="K165" s="34"/>
    </x:row>
    <x:row r="166">
      <x:c r="K166" s="34"/>
    </x:row>
    <x:row r="167">
      <x:c r="K167" s="34"/>
    </x:row>
    <x:row r="168">
      <x:c r="K168" s="34"/>
    </x:row>
    <x:row r="169">
      <x:c r="K169" s="34"/>
    </x:row>
    <x:row r="170">
      <x:c r="K170" s="34"/>
    </x:row>
    <x:row r="171">
      <x:c r="K171" s="34"/>
    </x:row>
    <x:row r="172">
      <x:c r="K172" s="34"/>
    </x:row>
    <x:row r="173">
      <x:c r="K173" s="34"/>
    </x:row>
    <x:row r="174">
      <x:c r="K174" s="34"/>
    </x:row>
    <x:row r="175">
      <x:c r="K175" s="34"/>
    </x:row>
    <x:row r="176">
      <x:c r="K176" s="34"/>
    </x:row>
    <x:row r="177">
      <x:c r="K177" s="34"/>
    </x:row>
    <x:row r="178">
      <x:c r="K178" s="34"/>
    </x:row>
    <x:row r="179">
      <x:c r="K179" s="34"/>
    </x:row>
    <x:row r="180">
      <x:c r="K180" s="34"/>
    </x:row>
    <x:row r="181">
      <x:c r="K181" s="34"/>
    </x:row>
    <x:row r="182">
      <x:c r="K182" s="34"/>
    </x:row>
    <x:row r="183">
      <x:c r="K183" s="34"/>
    </x:row>
    <x:row r="184">
      <x:c r="K184" s="34"/>
    </x:row>
    <x:row r="185">
      <x:c r="K185" s="34"/>
    </x:row>
    <x:row r="186">
      <x:c r="K186" s="34"/>
    </x:row>
    <x:row r="187">
      <x:c r="K187" s="34"/>
    </x:row>
    <x:row r="188">
      <x:c r="K188" s="34"/>
    </x:row>
    <x:row r="189">
      <x:c r="K189" s="34"/>
    </x:row>
    <x:row r="190">
      <x:c r="K190" s="34"/>
    </x:row>
    <x:row r="191">
      <x:c r="K191" s="34"/>
    </x:row>
    <x:row r="192">
      <x:c r="K192" s="34"/>
    </x:row>
    <x:row r="193">
      <x:c r="K193" s="34"/>
    </x:row>
    <x:row r="194">
      <x:c r="K194" s="34"/>
    </x:row>
    <x:row r="195">
      <x:c r="K195" s="34"/>
    </x:row>
    <x:row r="196">
      <x:c r="K196" s="34"/>
    </x:row>
    <x:row r="197">
      <x:c r="K197" s="34"/>
    </x:row>
    <x:row r="198">
      <x:c r="K198" s="34"/>
    </x:row>
    <x:row r="199">
      <x:c r="K199" s="34"/>
    </x:row>
    <x:row r="200">
      <x:c r="K200" s="34"/>
    </x:row>
  </x:sheetData>
  <x:conditionalFormatting sqref="L2:L200">
    <x:cfRule type="expression" dxfId="0" priority="1">
      <x:formula>L2="Hoàn thành"</x:formula>
    </x:cfRule>
    <x:cfRule type="expression" dxfId="1" priority="2">
      <x:formula>L2="Chưa hoàn thành"</x:formula>
    </x:cfRule>
    <x:cfRule type="expression" dxfId="2" priority="3">
      <x:formula>L2="Đang làm"</x:formula>
    </x:cfRule>
    <x:cfRule type="expression" dxfId="3" priority="4">
      <x:formula>L2="Blocked"</x:formula>
    </x:cfRule>
  </x:conditionalFormatting>
  <x:dataValidations count="4">
    <x:dataValidation type="list" sqref="B2:B200">
      <x:formula1>Lists!$E$2:$E$11</x:formula1>
    </x:dataValidation>
    <x:dataValidation type="list" sqref="I2:I200">
      <x:formula1>Lists!$B$2:$B$5</x:formula1>
    </x:dataValidation>
    <x:dataValidation type="list" sqref="J2:J200">
      <x:formula1>Lists!$C$2:$C$5</x:formula1>
    </x:dataValidation>
    <x:dataValidation type="list" sqref="L2:L200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08c574f88941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</x:cols>
  <x:sheetData>
    <x:row r="1">
      <x:c r="A1" s="6" t="str">
        <x:v>Week</x:v>
      </x:c>
      <x:c r="B1" s="6" t="str">
        <x:v>DatHVT</x:v>
      </x:c>
      <x:c r="C1" s="6" t="str">
        <x:v>AnhNVT</x:v>
      </x:c>
      <x:c r="D1" s="6" t="str">
        <x:v>TuHNC</x:v>
      </x:c>
      <x:c r="E1" s="6" t="str">
        <x:v>SangTM</x:v>
      </x:c>
      <x:c r="F1" s="6" t="str">
        <x:v>Main Goal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Week 1</x:v>
      </x:c>
      <x:c r="B2" t="str">
        <x:v>Đăng nhập thành công bằng tài khoản hợp lệ</x:v>
      </x:c>
      <x:c r="C2" t="str">
        <x:v>Tạo đề xuất sự kiện hợp lệ</x:v>
      </x:c>
      <x:c r="D2" t="str">
        <x:v>Sinh viên xem chi tiết và đăng ký sự kiện</x:v>
      </x:c>
      <x:c r="E2" t="str">
        <x:v>Department mở trang QR check-in</x:v>
      </x:c>
      <x:c r="F2" t="str">
        <x:v>Complete Week 1 test cases</x:v>
      </x:c>
    </x:row>
    <x:row r="3">
      <x:c r="A3" t="str">
        <x:v>Week 2</x:v>
      </x:c>
      <x:c r="B3" t="str">
        <x:v>Chặn Student truy cập trang Admin</x:v>
      </x:c>
      <x:c r="C3" t="str">
        <x:v>Committee duyệt proposal</x:v>
      </x:c>
      <x:c r="D3" t="str">
        <x:v>Chặn đăng ký trùng sự kiện</x:v>
      </x:c>
      <x:c r="E3" t="str">
        <x:v>QR cũ hết hạn sau 3 phút</x:v>
      </x:c>
      <x:c r="F3" t="str">
        <x:v>Complete Week 2 test cases</x:v>
      </x:c>
    </x:row>
    <x:row r="4">
      <x:c r="A4" t="str">
        <x:v>Week 3</x:v>
      </x:c>
      <x:c r="B4" t="str">
        <x:v>Admin tạo user mới</x:v>
      </x:c>
      <x:c r="C4" t="str">
        <x:v>Publish sự kiện đã duyệt</x:v>
      </x:c>
      <x:c r="D4" t="str">
        <x:v>Kiểm tra giới hạn số lượng tham gia</x:v>
      </x:c>
      <x:c r="E4" t="str">
        <x:v>Sinh viên chưa đăng ký không được check-in</x:v>
      </x:c>
      <x:c r="F4" t="str">
        <x:v>Complete Week 3 test cases</x:v>
      </x:c>
    </x:row>
    <x:row r="5">
      <x:c r="A5" t="str">
        <x:v>Week 4</x:v>
      </x:c>
      <x:c r="B5" t="str">
        <x:v>Đăng xuất khỏi hệ thống</x:v>
      </x:c>
      <x:c r="C5" t="str">
        <x:v>Committee yêu cầu sửa proposal</x:v>
      </x:c>
      <x:c r="D5" t="str">
        <x:v>Tính điểm ưu tiên đúng công thức</x:v>
      </x:c>
      <x:c r="E5" t="str">
        <x:v>Không cho check-in nhiều lần</x:v>
      </x:c>
      <x:c r="F5" t="str">
        <x:v>Complete Week 4 test cases</x:v>
      </x:c>
    </x:row>
    <x:row r="6">
      <x:c r="A6" t="str">
        <x:v>Week 5</x:v>
      </x:c>
      <x:c r="B6" t="str">
        <x:v>Admin đổi role user</x:v>
      </x:c>
      <x:c r="C6" t="str">
        <x:v>Sửa thông tin event</x:v>
      </x:c>
      <x:c r="D6" t="str">
        <x:v>Sinh viên đúng chuyên ngành được điểm cao hơn</x:v>
      </x:c>
      <x:c r="E6" t="str">
        <x:v>Department tạo câu hỏi quiz</x:v>
      </x:c>
      <x:c r="F6" t="str">
        <x:v>Complete Week 5 test cases</x:v>
      </x:c>
    </x:row>
    <x:row r="7">
      <x:c r="A7" t="str">
        <x:v>Week 6</x:v>
      </x:c>
      <x:c r="B7" t="str">
        <x:v>Kiểm tra mật khẩu không hợp lệ</x:v>
      </x:c>
      <x:c r="C7" t="str">
        <x:v>Tìm kiếm sự kiện theo khoa/chủ đề</x:v>
      </x:c>
      <x:c r="D7" t="str">
        <x:v>Sinh viên kỳ cuối được ưu tiên hơn</x:v>
      </x:c>
      <x:c r="E7" t="str">
        <x:v>Checkout random câu hỏi từ question pool</x:v>
      </x:c>
      <x:c r="F7" t="str">
        <x:v>Complete Week 6 test cases</x:v>
      </x:c>
    </x:row>
    <x:row r="8">
      <x:c r="A8" t="str">
        <x:v>Week 7</x:v>
      </x:c>
      <x:c r="B8" t="str">
        <x:v>Chặn truy cập URL trái quyền</x:v>
      </x:c>
      <x:c r="C8" t="str">
        <x:v>Hủy sự kiện</x:v>
      </x:c>
      <x:c r="D8" t="str">
        <x:v>Điểm tích lũy &gt;100 được xử lý đúng</x:v>
      </x:c>
      <x:c r="E8" t="str">
        <x:v>Student gửi feedback checkout</x:v>
      </x:c>
      <x:c r="F8" t="str">
        <x:v>Complete Week 7 test cases</x:v>
      </x:c>
    </x:row>
    <x:row r="9">
      <x:c r="A9" t="str">
        <x:v>Week 8</x:v>
      </x:c>
      <x:c r="B9" t="str">
        <x:v>Ghi log thao tác quan trọng</x:v>
      </x:c>
      <x:c r="C9" t="str">
        <x:v>Committee từ chối proposal</x:v>
      </x:c>
      <x:c r="D9" t="str">
        <x:v>Đưa waitlist lên khi có slot trống</x:v>
      </x:c>
      <x:c r="E9" t="str">
        <x:v>Xác minh giữa buổi</x:v>
      </x:c>
      <x:c r="F9" t="str">
        <x:v>Complete Week 8 test cases</x:v>
      </x:c>
    </x:row>
    <x:row r="10">
      <x:c r="A10" t="str">
        <x:v>Week 9</x:v>
      </x:c>
      <x:c r="B10" t="str">
        <x:v>Phiên đăng nhập hết hạn</x:v>
      </x:c>
      <x:c r="C10" t="str">
        <x:v>Trang chi tiết event hiển thị đủ thông tin</x:v>
      </x:c>
      <x:c r="D10" t="str">
        <x:v>Ghi nhận sinh viên đăng ký nhưng không đi</x:v>
      </x:c>
      <x:c r="E10" t="str">
        <x:v>Department xem thống kê feedback</x:v>
      </x:c>
      <x:c r="F10" t="str">
        <x:v>Complete Week 9 test cases</x:v>
      </x:c>
    </x:row>
    <x:row r="11">
      <x:c r="A11" t="str">
        <x:v>Week 10</x:v>
      </x:c>
      <x:c r="B11" t="str">
        <x:v>Kiểm tra lại luồng auth sau fix lỗi</x:v>
      </x:c>
      <x:c r="C11" t="str">
        <x:v>Test từ tạo proposal đến publish</x:v>
      </x:c>
      <x:c r="D11" t="str">
        <x:v>Test đăng ký + RBL + waitlist</x:v>
      </x:c>
      <x:c r="E11" t="str">
        <x:v>Test check-in, mid, quiz, feedback</x:v>
      </x:c>
      <x:c r="F11" t="str">
        <x:v>Complete Week 10 test cases</x:v>
      </x:c>
    </x:row>
  </x:sheetData>
  <x:pageMargins left="0.7" right="0.7" top="0.75" bottom="0.75" header="0.3" footer="0.3"/>
  <x:tableParts count="1">
    <x:tablePart xmlns:r="http://schemas.openxmlformats.org/officeDocument/2006/relationships" r:id="R126030656ae149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Status</x:v>
      </x:c>
      <x:c r="B1" s="6" t="str">
        <x:v>Members</x:v>
      </x:c>
      <x:c r="C1" s="6" t="str">
        <x:v>Priority</x:v>
      </x:c>
      <x:c r="D1" s="6" t="str">
        <x:v>Module</x:v>
      </x:c>
      <x:c r="E1" s="6" t="str">
        <x:v>Week</x:v>
      </x:c>
    </x:row>
    <x:row r="2">
      <x:c r="A2" t="str">
        <x:v>Chưa hoàn thành</x:v>
      </x:c>
      <x:c r="B2" t="str">
        <x:v>DatHVT</x:v>
      </x:c>
      <x:c r="C2" t="str">
        <x:v>High</x:v>
      </x:c>
      <x:c r="D2" t="str">
        <x:v>Authentication</x:v>
      </x:c>
      <x:c r="E2" t="str">
        <x:v>Week 1</x:v>
      </x:c>
    </x:row>
    <x:row r="3">
      <x:c r="A3" t="str">
        <x:v>Đang làm</x:v>
      </x:c>
      <x:c r="B3" t="str">
        <x:v>AnhNVT</x:v>
      </x:c>
      <x:c r="C3" t="str">
        <x:v>Medium</x:v>
      </x:c>
      <x:c r="D3" t="str">
        <x:v>Event Management</x:v>
      </x:c>
      <x:c r="E3" t="str">
        <x:v>Week 2</x:v>
      </x:c>
    </x:row>
    <x:row r="4">
      <x:c r="A4" t="str">
        <x:v>Hoàn thành</x:v>
      </x:c>
      <x:c r="B4" t="str">
        <x:v>TuHNC</x:v>
      </x:c>
      <x:c r="C4" t="str">
        <x:v>Low</x:v>
      </x:c>
      <x:c r="D4" t="str">
        <x:v>Registration &amp; RBL</x:v>
      </x:c>
      <x:c r="E4" t="str">
        <x:v>Week 3</x:v>
      </x:c>
    </x:row>
    <x:row r="5">
      <x:c r="A5" t="str">
        <x:v>Blocked</x:v>
      </x:c>
      <x:c r="B5" t="str">
        <x:v>SangTM</x:v>
      </x:c>
      <x:c r="C5" t="str">
        <x:v>Critical</x:v>
      </x:c>
      <x:c r="D5" t="str">
        <x:v>Attendance</x:v>
      </x:c>
      <x:c r="E5" t="str">
        <x:v>Week 4</x:v>
      </x:c>
    </x:row>
    <x:row r="6">
      <x:c r="D6" t="str">
        <x:v>Quiz &amp; Feedback</x:v>
      </x:c>
      <x:c r="E6" t="str">
        <x:v>Week 5</x:v>
      </x:c>
    </x:row>
    <x:row r="7">
      <x:c r="E7" t="str">
        <x:v>Week 6</x:v>
      </x:c>
    </x:row>
    <x:row r="8">
      <x:c r="E8" t="str">
        <x:v>Week 7</x:v>
      </x:c>
    </x:row>
    <x:row r="9">
      <x:c r="E9" t="str">
        <x:v>Week 8</x:v>
      </x:c>
    </x:row>
    <x:row r="10">
      <x:c r="E10" t="str">
        <x:v>Week 9</x:v>
      </x:c>
    </x:row>
    <x:row r="11">
      <x:c r="E11" t="str">
        <x:v>Week 10</x:v>
      </x:c>
    </x:row>
  </x:sheetData>
  <x:pageMargins left="0.7" right="0.7" top="0.75" bottom="0.75" header="0.3" footer="0.3"/>
</x:worksheet>
</file>