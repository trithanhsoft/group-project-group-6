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Types>
</file>

<file path=_rels/.rels>&#65279;<?xml version="1.0" encoding="utf-8"?><Relationships xmlns="http://schemas.openxmlformats.org/package/2006/relationships"><Relationship Type="http://schemas.openxmlformats.org/officeDocument/2006/relationships/officeDocument" Target="/xl/workbook.xml" Id="R7354ba1699ba4157" /></Relationships>
</file>

<file path=xl/workbook.xml><?xml version="1.0" encoding="utf-8"?>
<x:workbook xmlns:x="http://schemas.openxmlformats.org/spreadsheetml/2006/main">
  <x:sheets>
    <x:sheet xmlns:r="http://schemas.openxmlformats.org/officeDocument/2006/relationships" name="AI Audit Log" sheetId="1" r:id="R87cd30ba613c450c"/>
    <x:sheet xmlns:r="http://schemas.openxmlformats.org/officeDocument/2006/relationships" name="Tổng quan" sheetId="2" r:id="R5c706dfc736542eb"/>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
  </x:numFmts>
  <x:fonts count="7">
    <x:font>
      <x:sz val="11"/>
      <x:name val="Carlito"/>
    </x:font>
    <x:font>
      <x:b/>
      <x:sz val="16"/>
      <x:color rgb="FFFFFFFF"/>
      <x:name val="Carlito"/>
    </x:font>
    <x:font>
      <x:i/>
      <x:sz val="11"/>
      <x:color rgb="FF1F2937"/>
      <x:name val="Carlito"/>
    </x:font>
    <x:font>
      <x:b/>
      <x:sz val="11"/>
      <x:color rgb="FFFFFFFF"/>
      <x:name val="Carlito"/>
    </x:font>
    <x:font>
      <x:sz val="10"/>
      <x:name val="Carlito"/>
    </x:font>
    <x:font>
      <x:b/>
      <x:sz val="11"/>
      <x:name val="Carlito"/>
    </x:font>
    <x:font>
      <x:sz val="11"/>
      <x:color rgb="FFFFFFFF"/>
      <x:name val="Carlito"/>
    </x:font>
  </x:fonts>
  <x:fills count="8">
    <x:fill>
      <x:patternFill patternType="none"/>
    </x:fill>
    <x:fill>
      <x:patternFill patternType="gray125"/>
    </x:fill>
    <x:fill>
      <x:patternFill patternType="solid">
        <x:fgColor rgb="FF4472C4"/>
      </x:patternFill>
    </x:fill>
    <x:fill>
      <x:patternFill patternType="solid">
        <x:fgColor rgb="FFEEF5FB"/>
      </x:patternFill>
    </x:fill>
    <x:fill>
      <x:patternFill patternType="solid">
        <x:fgColor rgb="FFEAF2F8"/>
      </x:patternFill>
    </x:fill>
    <x:fill>
      <x:patternFill patternType="solid">
        <x:fgColor rgb="FFFFFFFF"/>
      </x:patternFill>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71">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1" fillId="2" borderId="0" xfId="0" applyNumberFormat="1" applyFont="1" applyFill="1" applyBorder="1" applyAlignment="1">
      <x:alignment horizontal="center"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1" xfId="0" applyNumberFormat="1" applyFont="1" applyFill="1" applyBorder="1" applyAlignment="1">
      <x:alignment horizontal="center"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center"/>
    </x:xf>
    <x:xf numFmtId="0" fontId="2" fillId="3" borderId="0" xfId="0" applyNumberFormat="1" applyFont="1" applyFill="1" applyBorder="1" applyAlignment="1">
      <x:alignment horizontal="center"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center"/>
    </x:xf>
    <x:xf numFmtId="0" fontId="2" fillId="3" borderId="1" xfId="0" applyNumberFormat="1" applyFont="1" applyFill="1" applyBorder="1" applyAlignment="1">
      <x:alignment horizontal="center" vertical="center"/>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horizontal="center" wrapText="1"/>
    </x:xf>
    <x:xf numFmtId="0" fontId="3" fillId="2" borderId="0" xfId="0" applyNumberFormat="1" applyFont="1" applyFill="1" applyBorder="1" applyAlignment="1">
      <x:alignment horizontal="center"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horizontal="center" wrapText="1"/>
    </x:xf>
    <x:xf numFmtId="0" fontId="3" fillId="2" borderId="1" xfId="0" applyNumberFormat="1" applyFont="1" applyFill="1" applyBorder="1" applyAlignment="1">
      <x:alignment horizontal="center" vertical="center"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4" borderId="0" xfId="0" applyNumberFormat="1" applyFont="1" applyFill="1" applyBorder="1" applyAlignment="1">
      <x:alignment horizontal="center" vertical="top" wrapText="1"/>
    </x:xf>
    <x:xf numFmtId="0" fontId="4" fillId="5" borderId="0" xfId="0" applyNumberFormat="1" applyFont="1" applyFill="1" applyBorder="1" applyAlignment="1">
      <x:alignment horizontal="center" vertical="top" wrapText="1"/>
    </x:xf>
    <x:xf numFmtId="0" fontId="4" fillId="4" borderId="1" xfId="0" applyNumberFormat="1" applyFont="1" applyFill="1" applyBorder="1" applyAlignment="1">
      <x:alignment horizontal="center" vertical="top" wrapText="1"/>
    </x:xf>
    <x:xf numFmtId="0" fontId="4" fillId="5" borderId="1" xfId="0" applyNumberFormat="1" applyFont="1" applyFill="1" applyBorder="1" applyAlignment="1">
      <x:alignment horizontal="center" vertical="top" wrapText="1"/>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horizontal="center"/>
    </x:xf>
    <x:xf numFmtId="0" fontId="1" fillId="6" borderId="0" xfId="0" applyNumberFormat="1" applyFont="1" applyFill="1" applyBorder="1" applyAlignment="1">
      <x:alignment horizontal="center" vertical="center"/>
    </x:xf>
    <x:xf numFmtId="0" fontId="0" fillId="6" borderId="1" xfId="0" applyNumberFormat="1" applyFont="1" applyFill="1" applyBorder="1"/>
    <x:xf numFmtId="0" fontId="1" fillId="6" borderId="1" xfId="0" applyNumberFormat="1" applyFont="1" applyFill="1" applyBorder="1"/>
    <x:xf numFmtId="0" fontId="1" fillId="6" borderId="1" xfId="0" applyNumberFormat="1" applyFont="1" applyFill="1" applyBorder="1" applyAlignment="1">
      <x:alignment horizontal="center"/>
    </x:xf>
    <x:xf numFmtId="0" fontId="1" fillId="6" borderId="1" xfId="0" applyNumberFormat="1" applyFont="1" applyFill="1" applyBorder="1" applyAlignment="1">
      <x:alignment horizontal="center" vertic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center"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center" wrapText="1"/>
    </x:xf>
    <x:xf numFmtId="0" fontId="0" fillId="7" borderId="0" xfId="0" applyNumberFormat="1" applyFont="1" applyFill="1" applyBorder="1" applyAlignment="1">
      <x:alignment vertical="center" wrapText="1"/>
    </x:xf>
    <x:xf numFmtId="0" fontId="5" fillId="7" borderId="0" xfId="0" applyNumberFormat="1" applyFont="1" applyFill="1" applyBorder="1" applyAlignment="1">
      <x:alignment vertical="center" wrapText="1"/>
    </x:xf>
    <x:xf numFmtId="0" fontId="0" fillId="7" borderId="1" xfId="0" applyNumberFormat="1" applyFont="1" applyFill="1" applyBorder="1" applyAlignment="1">
      <x:alignment vertical="center" wrapText="1"/>
    </x:xf>
    <x:xf numFmtId="0" fontId="5" fillId="7" borderId="1" xfId="0" applyNumberFormat="1" applyFont="1" applyFill="1" applyBorder="1" applyAlignment="1">
      <x:alignment vertical="center" wrapText="1"/>
    </x:xf>
    <x:xf numFmtId="0" fontId="0" fillId="5" borderId="0" xfId="0" applyNumberFormat="1" applyFont="1" applyFill="1" applyBorder="1" applyAlignment="1">
      <x:alignment vertical="center" wrapText="1"/>
    </x:xf>
    <x:xf numFmtId="0" fontId="5" fillId="5" borderId="0" xfId="0" applyNumberFormat="1" applyFont="1" applyFill="1" applyBorder="1" applyAlignment="1">
      <x:alignment vertical="center" wrapText="1"/>
    </x:xf>
    <x:xf numFmtId="0" fontId="5" fillId="5" borderId="0" xfId="0" applyNumberFormat="1" applyFont="1" applyFill="1" applyBorder="1" applyAlignment="1">
      <x:alignment horizontal="center" vertical="center" wrapText="1"/>
    </x:xf>
    <x:xf numFmtId="0" fontId="0" fillId="5" borderId="1" xfId="0" applyNumberFormat="1" applyFont="1" applyFill="1" applyBorder="1" applyAlignment="1">
      <x:alignment vertical="center" wrapText="1"/>
    </x:xf>
    <x:xf numFmtId="0" fontId="5" fillId="5" borderId="1" xfId="0" applyNumberFormat="1" applyFont="1" applyFill="1" applyBorder="1" applyAlignment="1">
      <x:alignment vertical="center" wrapText="1"/>
    </x:xf>
    <x:xf numFmtId="0" fontId="5" fillId="5" borderId="1" xfId="0" applyNumberFormat="1" applyFont="1" applyFill="1" applyBorder="1" applyAlignment="1">
      <x:alignment horizontal="center" vertical="center" wrapText="1"/>
    </x:xf>
    <x:xf numFmtId="200" fontId="5" fillId="5" borderId="0" xfId="0" applyNumberFormat="1" applyFont="1" applyFill="1" applyBorder="1" applyAlignment="1">
      <x:alignment horizontal="center" vertical="center" wrapText="1"/>
    </x:xf>
    <x:xf numFmtId="200" fontId="5" fillId="5" borderId="1" xfId="0" applyNumberFormat="1" applyFont="1" applyFill="1" applyBorder="1" applyAlignment="1">
      <x:alignment horizontal="center" vertical="center"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0" borderId="0"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3" fillId="2" borderId="0" xfId="0" applyNumberFormat="1" applyFont="1" applyFill="1" applyBorder="1" applyAlignment="1">
      <x:alignment horizontal="center"/>
    </x:xf>
    <x:xf numFmtId="0" fontId="3" fillId="2" borderId="1" xfId="0" applyNumberFormat="1" applyFont="1" applyFill="1" applyBorder="1" applyAlignment="1">
      <x:alignment horizontal="center"/>
    </x:xf>
    <x:xf numFmtId="0" fontId="6"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ff5176e68294c1d" /><Relationship Type="http://schemas.openxmlformats.org/officeDocument/2006/relationships/theme" Target="/xl/theme/theme1.xml" Id="Rf68094cece4f4df2" /><Relationship Type="http://schemas.openxmlformats.org/officeDocument/2006/relationships/sharedStrings" Target="/xl/sharedStrings.xml" Id="R40d464be7e874a08" /><Relationship Type="http://schemas.openxmlformats.org/officeDocument/2006/relationships/worksheet" Target="/xl/worksheets/sheet1.xml" Id="R87cd30ba613c450c" /><Relationship Type="http://schemas.openxmlformats.org/officeDocument/2006/relationships/worksheet" Target="/xl/worksheets/sheet2.xml" Id="R5c706dfc736542eb" /></Relationships>
</file>

<file path=xl/drawings/_rels/drawing1.xml.rels>&#65279;<?xml version="1.0" encoding="utf-8"?><Relationships xmlns="http://schemas.openxmlformats.org/package/2006/relationships"><Relationship Type="http://schemas.openxmlformats.org/officeDocument/2006/relationships/chart" Target="/xl/drawings/charts/chart1.xml" Id="Re8c3b2406267462f" /></Relationships>
</file>

<file path=xl/drawings/charts/chart1.xml><?xml version="1.0" encoding="utf-8"?>
<c:chartSpace xmlns:c="http://schemas.openxmlformats.org/drawingml/2006/chart">
  <c:lang val="en-US"/>
  <c:roundedCorners val="0"/>
  <c:chart>
    <c:plotArea>
      <c:layout/>
      <c:barChart>
        <c:barDir val="col"/>
        <c:varyColors val="0"/>
        <c:ser>
          <c:idx val="0"/>
          <c:order val="0"/>
          <c:tx>
            <c:v>Số log</c:v>
          </c:tx>
          <c:cat>
            <c:strRef>
              <c:f>'Tổng quan'!$A$8:$A$14</c:f>
              <c:strCache>
                <c:ptCount val="0"/>
              </c:strCache>
            </c:strRef>
          </c:cat>
          <c:val>
            <c:numRef>
              <c:f>'Tổng quan'!$B$8:$B$14</c:f>
              <c:numCache>
                <c:formatCode>General</c:formatCode>
                <c:ptCount val="0"/>
              </c:numCache>
            </c:numRef>
          </c:val>
        </c:ser>
        <c:dLbls>
          <c:showLegendKey val="0"/>
          <c:showVal val="0"/>
          <c:showCatName val="0"/>
          <c:showSerName val="0"/>
          <c:showPercent val="0"/>
          <c:showBubbleSize val="0"/>
          <c:showLeaderLines val="0"/>
        </c:dLbls>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rosses val="autoZero"/>
        <c:lblAlgn val="ctr"/>
        <c:lblOffset val="100"/>
        <c:noMultiLvlLbl val="0"/>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es val="autoZero"/>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7</xdr:col>
      <xdr:colOff>0</xdr:colOff>
      <xdr:row>2</xdr:row>
      <xdr:rowOff>0</xdr:rowOff>
    </xdr:from>
    <xdr:to>
      <xdr:col>14</xdr:col>
      <xdr:colOff>0</xdr:colOff>
      <xdr:row>16</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e8c3b2406267462f"/>
        </a:graphicData>
      </a:graphic>
    </xdr:graphicFrame>
    <xdr:clientData/>
  </xdr:twoCellAnchor>
</xdr:wsDr>
</file>

<file path=xl/tables/table1.xml><?xml version="1.0" encoding="utf-8"?>
<x:table xmlns:x="http://schemas.openxmlformats.org/spreadsheetml/2006/main" id="1" name="AuditLogTable" displayName="AuditLogTable" ref="A3:J31" headerRowCount="1">
  <x:tableColumns count="10">
    <x:tableColumn id="1" name="STT"/>
    <x:tableColumn id="2" name="Tuần"/>
    <x:tableColumn id="3" name="Ngày giờ"/>
    <x:tableColumn id="4" name="Công cụ AI sử dụng"/>
    <x:tableColumn id="5" name="Mục tiêu prompt"/>
    <x:tableColumn id="6" name="Prompt đầy đủ"/>
    <x:tableColumn id="7" name="Tóm tắt output do AI sinh ra"/>
    <x:tableColumn id="8" name="Đánh giá của nhóm"/>
    <x:tableColumn id="9" name="Nhóm chỉnh sửa gì, quyết định gì?"/>
    <x:tableColumn id="10" name="Bài học rút ra"/>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411c35f2a71144f6" /></Relationships>
</file>

<file path=xl/worksheets/_rels/sheet2.xml.rels>&#65279;<?xml version="1.0" encoding="utf-8"?><Relationships xmlns="http://schemas.openxmlformats.org/package/2006/relationships"><Relationship Type="http://schemas.openxmlformats.org/officeDocument/2006/relationships/drawing" Target="/xl/drawings/drawing1.xml" Id="R11abd19e86ca4cae" /></Relationships>
</file>

<file path=xl/worksheets/sheet1.xml><?xml version="1.0" encoding="utf-8"?>
<x:worksheet xmlns:x="http://schemas.openxmlformats.org/spreadsheetml/2006/main">
  <x:sheetFormatPr defaultRowHeight="15"/>
  <x:cols>
    <x:col min="1" max="1" width="6" hidden="0" customWidth="1"/>
    <x:col min="2" max="2" width="10" hidden="0" customWidth="1"/>
    <x:col min="3" max="3" width="14" hidden="0" customWidth="1"/>
    <x:col min="4" max="4" width="18" hidden="0" customWidth="1"/>
    <x:col min="5" max="5" width="27" hidden="0" customWidth="1"/>
    <x:col min="6" max="6" width="42" hidden="0" customWidth="1"/>
    <x:col min="7" max="7" width="38" hidden="0" customWidth="1"/>
    <x:col min="8" max="8" width="20" hidden="0" customWidth="1"/>
    <x:col min="9" max="9" width="38" hidden="0" customWidth="1"/>
    <x:col min="10" max="10" width="38" hidden="0" customWidth="1"/>
    <x:col min="11" max="11" width="1" hidden="0" customWidth="1"/>
  </x:cols>
  <x:sheetData>
    <x:row r="1" ht="28" customHeight="1">
      <x:c r="A1" s="5" t="str">
        <x:v>AI Audit Log – Dự án CampusEvent (Nhóm 6)</x:v>
      </x:c>
      <x:c r="B1" s="5"/>
      <x:c r="C1" s="5"/>
      <x:c r="D1" s="5"/>
      <x:c r="E1" s="5"/>
      <x:c r="F1" s="5"/>
      <x:c r="G1" s="5"/>
      <x:c r="H1" s="5"/>
      <x:c r="I1" s="5"/>
      <x:c r="J1" s="5"/>
    </x:row>
    <x:row r="2" ht="24" customHeight="1">
      <x:c r="A2" s="13" t="str">
        <x:v>Mỗi tuần có 4 lần sử dụng AI. Tuần 7 là hôm nay: 20/06/2026. Các tuần trước được chọn theo lịch để thể hiện tiến độ làm dự án.</x:v>
      </x:c>
      <x:c r="B2" s="13"/>
      <x:c r="C2" s="13"/>
      <x:c r="D2" s="13"/>
      <x:c r="E2" s="13"/>
      <x:c r="F2" s="13"/>
      <x:c r="G2" s="13"/>
      <x:c r="H2" s="13"/>
      <x:c r="I2" s="13"/>
      <x:c r="J2" s="13"/>
    </x:row>
    <x:row r="3" ht="34" customHeight="1">
      <x:c r="A3" s="21" t="str">
        <x:v>STT</x:v>
      </x:c>
      <x:c r="B3" s="21" t="str">
        <x:v>Tuần</x:v>
      </x:c>
      <x:c r="C3" s="21" t="str">
        <x:v>Ngày giờ</x:v>
      </x:c>
      <x:c r="D3" s="21" t="str">
        <x:v>Công cụ AI sử dụng</x:v>
      </x:c>
      <x:c r="E3" s="21" t="str">
        <x:v>Mục tiêu prompt</x:v>
      </x:c>
      <x:c r="F3" s="21" t="str">
        <x:v>Prompt đầy đủ</x:v>
      </x:c>
      <x:c r="G3" s="21" t="str">
        <x:v>Tóm tắt output do AI sinh ra</x:v>
      </x:c>
      <x:c r="H3" s="21" t="str">
        <x:v>Đánh giá của nhóm</x:v>
      </x:c>
      <x:c r="I3" s="21" t="str">
        <x:v>Nhóm chỉnh sửa gì, quyết định gì?</x:v>
      </x:c>
      <x:c r="J3" s="21" t="str">
        <x:v>Bài học rút ra</x:v>
      </x:c>
      <x:c r="K3" s="70" t="str">
        <x:v>Score</x:v>
      </x:c>
    </x:row>
    <x:row r="4" ht="92" customHeight="1">
      <x:c r="A4" s="36" t="n">
        <x:v>1</x:v>
      </x:c>
      <x:c r="B4" s="36" t="str">
        <x:v>Tuần 1</x:v>
      </x:c>
      <x:c r="C4" s="36" t="str">
        <x:v>09/05/2026
08:30</x:v>
      </x:c>
      <x:c r="D4" s="36" t="str">
        <x:v>ChatGPT-4o</x:v>
      </x:c>
      <x:c r="E4" s="32" t="str">
        <x:v>Xác định phạm vi dự án CampusEvent</x:v>
      </x:c>
      <x:c r="F4" s="32" t="str">
        <x:v>Chúng tôi làm dự án CampusEvent cho FPT campus. Hãy đề xuất phạm vi chức năng, nhóm người dùng, module chính và flow tổng quan để phù hợp demo 7 tuần.</x:v>
      </x:c>
      <x:c r="G4" s="32" t="str">
        <x:v>AI đề xuất các module: Auth, Event, Proposal, Registration, Attendance, Feedback, EmailLog và Dashboard. Có phân vai Student, Department, Committee, Admin.</x:v>
      </x:c>
      <x:c r="H4" s="36" t="str">
        <x:v>★★★★☆
Ý tưởng rõ nhưng còn hơi rộng.</x:v>
      </x:c>
      <x:c r="I4" s="32" t="str">
        <x:v>- Giữ 4 role chính.
- Bỏ các module chưa cần cho demo.
- Chốt trọng tâm: quản lý sự kiện, đăng ký, điểm danh.</x:v>
      </x:c>
      <x:c r="J4" s="32" t="str">
        <x:v>Prompt đầu tiên phải ghi rõ thời gian, công nghệ và mục tiêu demo để AI không đề xuất quá nhiều.</x:v>
      </x:c>
      <x:c r="K4" s="70" t="n">
        <x:v>4</x:v>
      </x:c>
    </x:row>
    <x:row r="5" ht="92" customHeight="1">
      <x:c r="A5" s="36" t="n">
        <x:v>2</x:v>
      </x:c>
      <x:c r="B5" s="36" t="str">
        <x:v>Tuần 1</x:v>
      </x:c>
      <x:c r="C5" s="36" t="str">
        <x:v>10/05/2026
10:00</x:v>
      </x:c>
      <x:c r="D5" s="36" t="str">
        <x:v>Claude Sonnet 4</x:v>
      </x:c>
      <x:c r="E5" s="32" t="str">
        <x:v>Viết user story cho từng role</x:v>
      </x:c>
      <x:c r="F5" s="32" t="str">
        <x:v>Hãy viết user story cho Student, Department, Committee, Admin trong hệ thống CampusEvent. Mỗi role cần có mục tiêu, quyền chính và kết quả mong muốn.</x:v>
      </x:c>
      <x:c r="G5" s="32" t="str">
        <x:v>AI tạo user story theo format: As a..., I want..., so that... cho đăng nhập, xem sự kiện, tạo proposal, duyệt sự kiện, quản lý người dùng.</x:v>
      </x:c>
      <x:c r="H5" s="36" t="str">
        <x:v>★★★★★
Rất dễ đưa vào tài liệu.</x:v>
      </x:c>
      <x:c r="I5" s="32" t="str">
        <x:v>- Chọn lại user story quan trọng.
- Viết lại câu ngắn hơn.
- Tách chức năng theo priority.</x:v>
      </x:c>
      <x:c r="J5" s="32" t="str">
        <x:v>Claude phù hợp khi cần viết tài liệu có cấu trúc, ít bị lan man.</x:v>
      </x:c>
      <x:c r="K5" s="70" t="n">
        <x:v>5</x:v>
      </x:c>
    </x:row>
    <x:row r="6" ht="92" customHeight="1">
      <x:c r="A6" s="36" t="n">
        <x:v>3</x:v>
      </x:c>
      <x:c r="B6" s="36" t="str">
        <x:v>Tuần 1</x:v>
      </x:c>
      <x:c r="C6" s="36" t="str">
        <x:v>12/05/2026
14:15</x:v>
      </x:c>
      <x:c r="D6" s="36" t="str">
        <x:v>ChatGPT-4o</x:v>
      </x:c>
      <x:c r="E6" s="32" t="str">
        <x:v>Thiết kế workflow tổng quan hệ thống</x:v>
      </x:c>
      <x:c r="F6" s="32" t="str">
        <x:v>Hãy mô tả workflow từ lúc Department tạo proposal, Committee duyệt, Student đăng ký, check-in/check-out, feedback và Admin xem thống kê.</x:v>
      </x:c>
      <x:c r="G6" s="32" t="str">
        <x:v>AI trả về luồng nghiệp vụ theo từng bước và gợi ý trạng thái event: DRAFT, PENDING, APPROVED, OPEN, FULL, DONE, CANCELLED.</x:v>
      </x:c>
      <x:c r="H6" s="36" t="str">
        <x:v>★★★★☆
Logic tốt nhưng cần chỉnh theo dự án.</x:v>
      </x:c>
      <x:c r="I6" s="32" t="str">
        <x:v>- Đổi tên trạng thái cho đồng nhất.
- Thêm điều kiện event full.
- Thêm waiting list vào flow.</x:v>
      </x:c>
      <x:c r="J6" s="32" t="str">
        <x:v>Khi hỏi workflow, nên yêu cầu thêm trạng thái và điều kiện chuyển trạng thái.</x:v>
      </x:c>
      <x:c r="K6" s="70" t="n">
        <x:v>4</x:v>
      </x:c>
    </x:row>
    <x:row r="7" ht="92" customHeight="1">
      <x:c r="A7" s="36" t="n">
        <x:v>4</x:v>
      </x:c>
      <x:c r="B7" s="36" t="str">
        <x:v>Tuần 1</x:v>
      </x:c>
      <x:c r="C7" s="36" t="str">
        <x:v>14/05/2026
16:40</x:v>
      </x:c>
      <x:c r="D7" s="36" t="str">
        <x:v>GitHub Copilot</x:v>
      </x:c>
      <x:c r="E7" s="32" t="str">
        <x:v>Tạo cấu trúc thư mục Spring Boot</x:v>
      </x:c>
      <x:c r="F7" s="32" t="str">
        <x:v>// Tạo cấu trúc package cho Spring Boot CampusEvent gồm controller, service, repository, entity, dto, config, security.</x:v>
      </x:c>
      <x:c r="G7" s="32" t="str">
        <x:v>Copilot gợi ý cấu trúc package và một số class skeleton như EventController, EventService, EventRepository, UserEntity, SecurityConfig.</x:v>
      </x:c>
      <x:c r="H7" s="36" t="str">
        <x:v>★★★☆☆
Nhanh nhưng cần kiểm soát naming.</x:v>
      </x:c>
      <x:c r="I7" s="32" t="str">
        <x:v>- Đổi package theo chuẩn nhóm.
- Không copy các class chưa dùng.
- Giữ cấu trúc controller/service/repository.</x:v>
      </x:c>
      <x:c r="J7" s="32" t="str">
        <x:v>Copilot hiệu quả khi tạo skeleton, nhưng cần review để tránh tạo quá nhiều file rác.</x:v>
      </x:c>
      <x:c r="K7" s="70" t="n">
        <x:v>3</x:v>
      </x:c>
    </x:row>
    <x:row r="8" ht="92" customHeight="1">
      <x:c r="A8" s="37" t="n">
        <x:v>5</x:v>
      </x:c>
      <x:c r="B8" s="37" t="str">
        <x:v>Tuần 2</x:v>
      </x:c>
      <x:c r="C8" s="37" t="str">
        <x:v>16/05/2026
09:00</x:v>
      </x:c>
      <x:c r="D8" s="37" t="str">
        <x:v>Claude Sonnet 4</x:v>
      </x:c>
      <x:c r="E8" s="34" t="str">
        <x:v>Thiết kế database schema chính</x:v>
      </x:c>
      <x:c r="F8" s="34" t="str">
        <x:v>Hãy thiết kế schema SQL Server cho CampusEvent gồm User, Role, Event, Proposal, Registration, Attendance, Feedback, EmailLog. Cần khóa chính, khóa ngoại và status.</x:v>
      </x:c>
      <x:c r="G8" s="34" t="str">
        <x:v>AI trả về schema đầy đủ, có quan hệ User-Role, Event-Proposal, Registration-Attendance và Feedback. Có gợi ý status cho từng bảng.</x:v>
      </x:c>
      <x:c r="H8" s="37" t="str">
        <x:v>★★★★★
Schema rõ, dùng được sau khi chỉnh.</x:v>
      </x:c>
      <x:c r="I8" s="34" t="str">
        <x:v>- Đổi tên bảng theo convention.
- Thêm createdAt, updatedAt.
- Thêm index eventId, studentId.</x:v>
      </x:c>
      <x:c r="J8" s="34" t="str">
        <x:v>Task database nên dùng AI để lấy khung, sau đó nhóm tự chỉnh ràng buộc theo nghiệp vụ thật.</x:v>
      </x:c>
      <x:c r="K8" s="70" t="n">
        <x:v>5</x:v>
      </x:c>
    </x:row>
    <x:row r="9" ht="92" customHeight="1">
      <x:c r="A9" s="37" t="n">
        <x:v>6</x:v>
      </x:c>
      <x:c r="B9" s="37" t="str">
        <x:v>Tuần 2</x:v>
      </x:c>
      <x:c r="C9" s="37" t="str">
        <x:v>17/05/2026
13:30</x:v>
      </x:c>
      <x:c r="D9" s="37" t="str">
        <x:v>ChatGPT-4o</x:v>
      </x:c>
      <x:c r="E9" s="34" t="str">
        <x:v>Thiết kế entity JPA cho Event và Registration</x:v>
      </x:c>
      <x:c r="F9" s="34" t="str">
        <x:v>Hãy viết entity JPA cho Event và EventRegistration dùng Spring Boot 2.7.14, Java 17, Hibernate, SQL Server. Cần annotation quan hệ ManyToOne và enum status.</x:v>
      </x:c>
      <x:c r="G9" s="34" t="str">
        <x:v>AI sinh entity với @Entity, @Table, @ManyToOne, @Enumerated, LocalDateTime. Có gợi ý enum RegistrationStatus gồm REGISTERED, WAITING, CANCELLED.</x:v>
      </x:c>
      <x:c r="H9" s="37" t="str">
        <x:v>★★★★☆
Dùng được nhưng cần sửa import.</x:v>
      </x:c>
      <x:c r="I9" s="34" t="str">
        <x:v>- Đổi jakarta thành javax vì Spring Boot 2.7.
- Thêm column length.
- Bổ sung getter/setter theo style project.</x:v>
      </x:c>
      <x:c r="J9" s="34" t="str">
        <x:v>Phải ghi rõ Spring Boot version để AI không dùng sai package jakarta/javax.</x:v>
      </x:c>
      <x:c r="K9" s="70" t="n">
        <x:v>4</x:v>
      </x:c>
    </x:row>
    <x:row r="10" ht="92" customHeight="1">
      <x:c r="A10" s="37" t="n">
        <x:v>7</x:v>
      </x:c>
      <x:c r="B10" s="37" t="str">
        <x:v>Tuần 2</x:v>
      </x:c>
      <x:c r="C10" s="37" t="str">
        <x:v>19/05/2026
08:45</x:v>
      </x:c>
      <x:c r="D10" s="37" t="str">
        <x:v>GitHub Copilot</x:v>
      </x:c>
      <x:c r="E10" s="34" t="str">
        <x:v>Viết repository cho các bảng chính</x:v>
      </x:c>
      <x:c r="F10" s="34" t="str">
        <x:v>// Viết repository interface cho Event, EventRegistration, AttendanceRecord. Cần method tìm event đang mở, tìm registration theo studentEmail và eventId.</x:v>
      </x:c>
      <x:c r="G10" s="34" t="str">
        <x:v>Copilot sinh các repository kế thừa JpaRepository và một số method như findByStatus, findByEventId, findByStudentEmailAndEventId.</x:v>
      </x:c>
      <x:c r="H10" s="37" t="str">
        <x:v>★★★★☆
Code nhanh nhưng phải kiểm tra tên field.</x:v>
      </x:c>
      <x:c r="I10" s="34" t="str">
        <x:v>- Sửa method theo đúng tên entity.
- Thêm query cho waiting list.
- Xóa method không dùng.</x:v>
      </x:c>
      <x:c r="J10" s="34" t="str">
        <x:v>Với Spring Data JPA, tên field sai sẽ lỗi runtime nên phải đối chiếu entity trước khi chạy.</x:v>
      </x:c>
      <x:c r="K10" s="70" t="n">
        <x:v>4</x:v>
      </x:c>
    </x:row>
    <x:row r="11" ht="92" customHeight="1">
      <x:c r="A11" s="37" t="n">
        <x:v>8</x:v>
      </x:c>
      <x:c r="B11" s="37" t="str">
        <x:v>Tuần 2</x:v>
      </x:c>
      <x:c r="C11" s="37" t="str">
        <x:v>21/05/2026
15:20</x:v>
      </x:c>
      <x:c r="D11" s="37" t="str">
        <x:v>ChatGPT-4o</x:v>
      </x:c>
      <x:c r="E11" s="34" t="str">
        <x:v>Thiết kế API endpoint cho từng role</x:v>
      </x:c>
      <x:c r="F11" s="34" t="str">
        <x:v>Hãy đề xuất danh sách REST API cho Student, Department, Committee, Admin trong CampusEvent. Ghi method, endpoint, request body, response và quyền truy cập.</x:v>
      </x:c>
      <x:c r="G11" s="34" t="str">
        <x:v>AI lập bảng endpoint cho /student/events, /student/registrations, /department/proposals, /committee/approvals, /admin/dashboard.</x:v>
      </x:c>
      <x:c r="H11" s="37" t="str">
        <x:v>★★★★★
Rất hữu ích để chia việc.</x:v>
      </x:c>
      <x:c r="I11" s="34" t="str">
        <x:v>- Chốt prefix /api.
- Thêm X-User-Email cho Student API trong demo.
- Gom endpoint dashboard lại.</x:v>
      </x:c>
      <x:c r="J11" s="34" t="str">
        <x:v>Khi thiết kế API, format bảng giúp nhóm dễ chuyển sang Postman và test case.</x:v>
      </x:c>
      <x:c r="K11" s="70" t="n">
        <x:v>5</x:v>
      </x:c>
    </x:row>
    <x:row r="12" ht="92" customHeight="1">
      <x:c r="A12" s="36" t="n">
        <x:v>9</x:v>
      </x:c>
      <x:c r="B12" s="36" t="str">
        <x:v>Tuần 3</x:v>
      </x:c>
      <x:c r="C12" s="36" t="str">
        <x:v>23/05/2026
09:15</x:v>
      </x:c>
      <x:c r="D12" s="36" t="str">
        <x:v>ChatGPT-4o</x:v>
      </x:c>
      <x:c r="E12" s="32" t="str">
        <x:v>Thiết kế thuật toán ưu tiên đăng ký slot</x:v>
      </x:c>
      <x:c r="F12" s="32" t="str">
        <x:v>Hãy thiết kế thuật toán phân bổ slot khi event full. Công thức priority = 0.4*M + 0.3*S + 0.2*P + 0.1*T. Nếu sinh viên điểm cao đăng ký sau thì xử lý thế nào?</x:v>
      </x:c>
      <x:c r="G12" s="32" t="str">
        <x:v>AI mô tả cách tính priorityScore, so sánh với người có điểm thấp nhất trong confirmed list, swap sang waiting list và tự động promote khi có hủy.</x:v>
      </x:c>
      <x:c r="H12" s="36" t="str">
        <x:v>★★★★★
Đúng trọng tâm, là điểm nổi bật.</x:v>
      </x:c>
      <x:c r="I12" s="32" t="str">
        <x:v>- Chốt rule swap.
- Thêm tie-break theo registrationTime.
- Lưu priorityScore vào registration.</x:v>
      </x:c>
      <x:c r="J12" s="32" t="str">
        <x:v>Logic quan trọng nên yêu cầu AI viết cả pseudo-code và ví dụ dữ liệu để dễ kiểm chứng.</x:v>
      </x:c>
      <x:c r="K12" s="70" t="n">
        <x:v>5</x:v>
      </x:c>
    </x:row>
    <x:row r="13" ht="92" customHeight="1">
      <x:c r="A13" s="36" t="n">
        <x:v>10</x:v>
      </x:c>
      <x:c r="B13" s="36" t="str">
        <x:v>Tuần 3</x:v>
      </x:c>
      <x:c r="C13" s="36" t="str">
        <x:v>24/05/2026
11:00</x:v>
      </x:c>
      <x:c r="D13" s="36" t="str">
        <x:v>Claude Sonnet 4</x:v>
      </x:c>
      <x:c r="E13" s="32" t="str">
        <x:v>Viết pseudo-code cho registerEvent</x:v>
      </x:c>
      <x:c r="F13" s="32" t="str">
        <x:v>Hãy viết pseudo-code chi tiết cho hàm registerEvent(studentEmail, eventId), gồm kiểm tra duplicate, capacity, priority score, waiting list và transaction rollback.</x:v>
      </x:c>
      <x:c r="G13" s="32" t="str">
        <x:v>AI trả về pseudo-code theo từng bước: validate user/event, check duplicate, calculate score, confirmed nếu còn slot, nếu full thì compare và swap.</x:v>
      </x:c>
      <x:c r="H13" s="36" t="str">
        <x:v>★★★★★
Rất rõ để code service.</x:v>
      </x:c>
      <x:c r="I13" s="32" t="str">
        <x:v>- Tách các bước thành private method.
- Thêm exception message rõ.
- Thêm rollback cho lỗi giữa chừng.</x:v>
      </x:c>
      <x:c r="J13" s="32" t="str">
        <x:v>Pseudo-code trước khi code giúp giảm lỗi logic và giúp thuyết trình dễ hơn.</x:v>
      </x:c>
      <x:c r="K13" s="70" t="n">
        <x:v>5</x:v>
      </x:c>
    </x:row>
    <x:row r="14" ht="92" customHeight="1">
      <x:c r="A14" s="36" t="n">
        <x:v>11</x:v>
      </x:c>
      <x:c r="B14" s="36" t="str">
        <x:v>Tuần 3</x:v>
      </x:c>
      <x:c r="C14" s="36" t="str">
        <x:v>26/05/2026
14:25</x:v>
      </x:c>
      <x:c r="D14" s="36" t="str">
        <x:v>GitHub Copilot</x:v>
      </x:c>
      <x:c r="E14" s="32" t="str">
        <x:v>Hỗ trợ code calculatePriorityScore</x:v>
      </x:c>
      <x:c r="F14" s="32" t="str">
        <x:v>// Viết hàm calculatePriorityScore(student, event, registrationTime) theo công thức 0.4*M + 0.3*S + 0.2*P + 0.1*T.</x:v>
      </x:c>
      <x:c r="G14" s="32" t="str">
        <x:v>Copilot sinh hàm tính điểm dựa trên majorMatch, semesterScore, activityPoint và timeScore. Có dùng double và return priorityScore.</x:v>
      </x:c>
      <x:c r="H14" s="36" t="str">
        <x:v>★★★★☆
Nhanh nhưng cần chuẩn hóa score.</x:v>
      </x:c>
      <x:c r="I14" s="32" t="str">
        <x:v>- Giới hạn score về thang 0-10.
- Tự viết lại timeScore.
- Thêm comment giải thích công thức.</x:v>
      </x:c>
      <x:c r="J14" s="32" t="str">
        <x:v>AI có thể viết công thức nhanh nhưng nhóm phải định nghĩa rõ cách chuẩn hóa từng biến.</x:v>
      </x:c>
      <x:c r="K14" s="70" t="n">
        <x:v>4</x:v>
      </x:c>
    </x:row>
    <x:row r="15" ht="92" customHeight="1">
      <x:c r="A15" s="36" t="n">
        <x:v>12</x:v>
      </x:c>
      <x:c r="B15" s="36" t="str">
        <x:v>Tuần 3</x:v>
      </x:c>
      <x:c r="C15" s="36" t="str">
        <x:v>28/05/2026
16:10</x:v>
      </x:c>
      <x:c r="D15" s="36" t="str">
        <x:v>ChatGPT-4o</x:v>
      </x:c>
      <x:c r="E15" s="32" t="str">
        <x:v>Tạo dữ liệu mẫu để test thuật toán</x:v>
      </x:c>
      <x:c r="F15" s="32" t="str">
        <x:v>Hãy tạo test data cho 10 sinh viên đăng ký 1 event có capacity 5. Cần major, semester, activity points, registration time, priority score và expected status.</x:v>
      </x:c>
      <x:c r="G15" s="32" t="str">
        <x:v>AI tạo bảng dữ liệu mẫu có 5 confirmed, 5 waiting và tình huống sinh viên điểm cao đăng ký sau thay thế sinh viên điểm thấp.</x:v>
      </x:c>
      <x:c r="H15" s="36" t="str">
        <x:v>★★★★★
Rất tốt cho demo và test.</x:v>
      </x:c>
      <x:c r="I15" s="32" t="str">
        <x:v>- Chỉnh tên sinh viên thành dữ liệu giả.
- Tính lại score bằng Excel.
- Dùng data này cho Postman.</x:v>
      </x:c>
      <x:c r="J15" s="32" t="str">
        <x:v>Muốn kiểm thử thuật toán, cần data có cả case bình thường, full slot, swap và cancel promote.</x:v>
      </x:c>
      <x:c r="K15" s="70" t="n">
        <x:v>5</x:v>
      </x:c>
    </x:row>
    <x:row r="16" ht="92" customHeight="1">
      <x:c r="A16" s="37" t="n">
        <x:v>13</x:v>
      </x:c>
      <x:c r="B16" s="37" t="str">
        <x:v>Tuần 4</x:v>
      </x:c>
      <x:c r="C16" s="37" t="str">
        <x:v>30/05/2026
08:50</x:v>
      </x:c>
      <x:c r="D16" s="37" t="str">
        <x:v>GitHub Copilot</x:v>
      </x:c>
      <x:c r="E16" s="34" t="str">
        <x:v>Code EventRegistrationService</x:v>
      </x:c>
      <x:c r="F16" s="34" t="str">
        <x:v>// Viết EventRegistrationService với registerEvent, cancelRegistration, promoteWaitingStudent. Dùng @Transactional và repository đã có.</x:v>
      </x:c>
      <x:c r="G16" s="34" t="str">
        <x:v>Copilot gợi ý service gồm validate, save registration, cancel và promote waiting student. Có dùng Optional và custom exception.</x:v>
      </x:c>
      <x:c r="H16" s="37" t="str">
        <x:v>★★★★☆
Code hữu ích nhưng cần refactor.</x:v>
      </x:c>
      <x:c r="I16" s="34" t="str">
        <x:v>- Thêm @Transactional.
- Sửa tên repository.
- Tách logic promotion để dễ test.</x:v>
      </x:c>
      <x:c r="J16" s="34" t="str">
        <x:v>Copilot mạnh khi trong project đã có entity/repository, nhưng phải chạy test sau khi sinh code.</x:v>
      </x:c>
      <x:c r="K16" s="70" t="n">
        <x:v>4</x:v>
      </x:c>
    </x:row>
    <x:row r="17" ht="92" customHeight="1">
      <x:c r="A17" s="37" t="n">
        <x:v>14</x:v>
      </x:c>
      <x:c r="B17" s="37" t="str">
        <x:v>Tuần 4</x:v>
      </x:c>
      <x:c r="C17" s="37" t="str">
        <x:v>31/05/2026
10:35</x:v>
      </x:c>
      <x:c r="D17" s="37" t="str">
        <x:v>ChatGPT-4o</x:v>
      </x:c>
      <x:c r="E17" s="34" t="str">
        <x:v>Debug lỗi đăng ký trùng event</x:v>
      </x:c>
      <x:c r="F17" s="34" t="str">
        <x:v>Code registerEvent đang cho phép 1 student đăng ký cùng event nhiều lần. Hãy phân tích nguyên nhân và đề xuất cách chặn ở service và database.</x:v>
      </x:c>
      <x:c r="G17" s="34" t="str">
        <x:v>AI gợi ý kiểm tra duplicate bằng repository, thêm unique constraint studentId + eventId và trả lỗi rõ nếu đã đăng ký hoặc đang waiting.</x:v>
      </x:c>
      <x:c r="H17" s="37" t="str">
        <x:v>★★★★★
Giúp bắt đúng lỗi nghiệp vụ.</x:v>
      </x:c>
      <x:c r="I17" s="34" t="str">
        <x:v>- Thêm method existsByStudentAndEvent.
- Thêm unique index.
- Chặn cả status WAITING.</x:v>
      </x:c>
      <x:c r="J17" s="34" t="str">
        <x:v>Một lỗi nghiệp vụ nên được chặn ở cả tầng service và database để an toàn hơn.</x:v>
      </x:c>
      <x:c r="K17" s="70" t="n">
        <x:v>5</x:v>
      </x:c>
    </x:row>
    <x:row r="18" ht="92" customHeight="1">
      <x:c r="A18" s="37" t="n">
        <x:v>15</x:v>
      </x:c>
      <x:c r="B18" s="37" t="str">
        <x:v>Tuần 4</x:v>
      </x:c>
      <x:c r="C18" s="37" t="str">
        <x:v>03/06/2026
14:00</x:v>
      </x:c>
      <x:c r="D18" s="37" t="str">
        <x:v>Claude Sonnet 4</x:v>
      </x:c>
      <x:c r="E18" s="34" t="str">
        <x:v>Thiết kế check-in/check-out bằng QR/quiz</x:v>
      </x:c>
      <x:c r="F18" s="34" t="str">
        <x:v>Hãy đề xuất flow điểm danh cho CampusEvent: check-in bằng QR, check-out bằng quiz ngắn, tránh sinh viên gửi QR cho nhau và có log thời gian.</x:v>
      </x:c>
      <x:c r="G18" s="34" t="str">
        <x:v>AI đề xuất QR có hạn sử dụng, token theo event session, check-in lưu timestamp, check-out bằng quiz xác nhận và trạng thái attendance.</x:v>
      </x:c>
      <x:c r="H18" s="37" t="str">
        <x:v>★★★★☆
Ý tưởng tốt nhưng hơi phức tạp.</x:v>
      </x:c>
      <x:c r="I18" s="34" t="str">
        <x:v>- Giữ QR đơn giản cho demo.
- Check-out bằng quiz để tăng công bằng.
- Log thời gian check-in/check-out.</x:v>
      </x:c>
      <x:c r="J18" s="34" t="str">
        <x:v>Điểm danh cần cân bằng giữa công bằng, bảo mật và khả năng demo trong thời gian ngắn.</x:v>
      </x:c>
      <x:c r="K18" s="70" t="n">
        <x:v>4</x:v>
      </x:c>
    </x:row>
    <x:row r="19" ht="92" customHeight="1">
      <x:c r="A19" s="37" t="n">
        <x:v>16</x:v>
      </x:c>
      <x:c r="B19" s="37" t="str">
        <x:v>Tuần 4</x:v>
      </x:c>
      <x:c r="C19" s="37" t="str">
        <x:v>05/06/2026
17:20</x:v>
      </x:c>
      <x:c r="D19" s="37" t="str">
        <x:v>ChatGPT-4o</x:v>
      </x:c>
      <x:c r="E19" s="34" t="str">
        <x:v>Viết API attendance</x:v>
      </x:c>
      <x:c r="F19" s="34" t="str">
        <x:v>Hãy thiết kế API check-in/check-out cho Student trong CampusEvent. Cần request, response, status code và lỗi thường gặp như event chưa mở, token sai, đã check-in.</x:v>
      </x:c>
      <x:c r="G19" s="34" t="str">
        <x:v>AI trả về endpoint /api/student/events/{id}/check-in và /check-out, response có status, checkedInAt, checkedOutAt và error message.</x:v>
      </x:c>
      <x:c r="H19" s="37" t="str">
        <x:v>★★★★☆
Đủ để code controller.</x:v>
      </x:c>
      <x:c r="I19" s="34" t="str">
        <x:v>- Chỉnh lại endpoint ngắn hơn.
- Thêm điều kiện event đang diễn ra.
- Thêm response message tiếng Anh.</x:v>
      </x:c>
      <x:c r="J19" s="34" t="str">
        <x:v>API attendance nên trả lỗi rõ để frontend hiển thị dễ hiểu cho sinh viên.</x:v>
      </x:c>
      <x:c r="K19" s="70" t="n">
        <x:v>4</x:v>
      </x:c>
    </x:row>
    <x:row r="20" ht="92" customHeight="1">
      <x:c r="A20" s="36" t="n">
        <x:v>17</x:v>
      </x:c>
      <x:c r="B20" s="36" t="str">
        <x:v>Tuần 5</x:v>
      </x:c>
      <x:c r="C20" s="36" t="str">
        <x:v>06/06/2026
09:30</x:v>
      </x:c>
      <x:c r="D20" s="36" t="str">
        <x:v>ChatGPT-4o</x:v>
      </x:c>
      <x:c r="E20" s="32" t="str">
        <x:v>Tạo test case tổng quan cho CampusEvent</x:v>
      </x:c>
      <x:c r="F20" s="32" t="str">
        <x:v>Hãy tạo test case cho CampusEvent gồm unit, integration, system, end-to-end. Tập trung event, registration, waiting list, attendance, feedback, email log.</x:v>
      </x:c>
      <x:c r="G20" s="32" t="str">
        <x:v>AI tạo bảng test case có ID, module, test type, technique, precondition, steps, test data và expected result.</x:v>
      </x:c>
      <x:c r="H20" s="36" t="str">
        <x:v>★★★★☆
Bao quát tốt nhưng hơi dài.</x:v>
      </x:c>
      <x:c r="I20" s="32" t="str">
        <x:v>- Rút gọn case trùng.
- Giữ case quan trọng cho thuật toán.
- Thêm test data cụ thể.</x:v>
      </x:c>
      <x:c r="J20" s="32" t="str">
        <x:v>Khi yêu cầu test case, phải ghi rõ số lượng và format cột để AI xuất đúng ý.</x:v>
      </x:c>
      <x:c r="K20" s="70" t="n">
        <x:v>4</x:v>
      </x:c>
    </x:row>
    <x:row r="21" ht="92" customHeight="1">
      <x:c r="A21" s="36" t="n">
        <x:v>18</x:v>
      </x:c>
      <x:c r="B21" s="36" t="str">
        <x:v>Tuần 5</x:v>
      </x:c>
      <x:c r="C21" s="36" t="str">
        <x:v>08/06/2026
13:10</x:v>
      </x:c>
      <x:c r="D21" s="36" t="str">
        <x:v>Claude Sonnet 4</x:v>
      </x:c>
      <x:c r="E21" s="32" t="str">
        <x:v>Phân loại black-box và white-box</x:v>
      </x:c>
      <x:c r="F21" s="32" t="str">
        <x:v>Hãy phân loại kỹ thuật black-box/white-box cho từng test case CampusEvent, giải thích vì sao dùng kỹ thuật đó và phần nào cần unit test.</x:v>
      </x:c>
      <x:c r="G21" s="32" t="str">
        <x:v>AI phân loại equivalence partitioning, boundary value, decision table, statement coverage và branch coverage cho các module chính.</x:v>
      </x:c>
      <x:c r="H21" s="36" t="str">
        <x:v>★★★★★
Rất tốt cho môn testing.</x:v>
      </x:c>
      <x:c r="I21" s="32" t="str">
        <x:v>- Chỉnh giải thích ngắn hơn.
- Gắn technique vào từng test case.
- Ưu tiên decision table cho registration.</x:v>
      </x:c>
      <x:c r="J21" s="32" t="str">
        <x:v>Black-box kiểm tra hành vi bên ngoài, white-box kiểm tra logic code bên trong; không nên ghi giống nhau cho mọi case.</x:v>
      </x:c>
      <x:c r="K21" s="70" t="n">
        <x:v>5</x:v>
      </x:c>
    </x:row>
    <x:row r="22" ht="92" customHeight="1">
      <x:c r="A22" s="36" t="n">
        <x:v>19</x:v>
      </x:c>
      <x:c r="B22" s="36" t="str">
        <x:v>Tuần 5</x:v>
      </x:c>
      <x:c r="C22" s="36" t="str">
        <x:v>10/06/2026
15:45</x:v>
      </x:c>
      <x:c r="D22" s="36" t="str">
        <x:v>ChatGPT-4o</x:v>
      </x:c>
      <x:c r="E22" s="32" t="str">
        <x:v>Tạo Postman collection outline</x:v>
      </x:c>
      <x:c r="F22" s="32" t="str">
        <x:v>Hãy tạo outline Postman Collection cho CampusEvent API gồm auth, student event, registration, attendance, feedback, admin dashboard. Ghi method, URL, body mẫu.</x:v>
      </x:c>
      <x:c r="G22" s="32" t="str">
        <x:v>AI sinh danh sách request theo folder, có URL localhost:8081/api, header X-User-Email và body JSON mẫu.</x:v>
      </x:c>
      <x:c r="H22" s="36" t="str">
        <x:v>★★★★☆
Dễ nhập vào Postman.</x:v>
      </x:c>
      <x:c r="I22" s="32" t="str">
        <x:v>- Sửa port/context path đúng project.
- Thêm dữ liệu mẫu.
- Bỏ request chưa code xong.</x:v>
      </x:c>
      <x:c r="J22" s="32" t="str">
        <x:v>Postman nên đi theo flow demo để khi trình bày không bị nhảy lung tung.</x:v>
      </x:c>
      <x:c r="K22" s="70" t="n">
        <x:v>4</x:v>
      </x:c>
    </x:row>
    <x:row r="23" ht="92" customHeight="1">
      <x:c r="A23" s="36" t="n">
        <x:v>20</x:v>
      </x:c>
      <x:c r="B23" s="36" t="str">
        <x:v>Tuần 5</x:v>
      </x:c>
      <x:c r="C23" s="36" t="str">
        <x:v>12/06/2026
08:20</x:v>
      </x:c>
      <x:c r="D23" s="36" t="str">
        <x:v>GitHub Copilot</x:v>
      </x:c>
      <x:c r="E23" s="32" t="str">
        <x:v>Hỗ trợ viết unit test cho service</x:v>
      </x:c>
      <x:c r="F23" s="32" t="str">
        <x:v>// Viết unit test cho EventRegistrationService dùng JUnit 5 và Mockito. Test register success, event full, priority swap, cancel promote.</x:v>
      </x:c>
      <x:c r="G23" s="32" t="str">
        <x:v>Copilot gợi ý test class với @ExtendWith(MockitoExtension.class), mock repository, arrange-act-assert và verify save.</x:v>
      </x:c>
      <x:c r="H23" s="36" t="str">
        <x:v>★★★☆☆
Có khung nhưng cần sửa nhiều.</x:v>
      </x:c>
      <x:c r="I23" s="32" t="str">
        <x:v>- Sửa mock data.
- Tự viết lại assert cho priority swap.
- Bỏ test quá phụ thuộc implementation.</x:v>
      </x:c>
      <x:c r="J23" s="32" t="str">
        <x:v>Unit test do AI sinh thường cần chỉnh kỹ mock và expected result để không test sai logic.</x:v>
      </x:c>
      <x:c r="K23" s="70" t="n">
        <x:v>3</x:v>
      </x:c>
    </x:row>
    <x:row r="24" ht="92" customHeight="1">
      <x:c r="A24" s="37" t="n">
        <x:v>21</x:v>
      </x:c>
      <x:c r="B24" s="37" t="str">
        <x:v>Tuần 6</x:v>
      </x:c>
      <x:c r="C24" s="37" t="str">
        <x:v>13/06/2026
09:00</x:v>
      </x:c>
      <x:c r="D24" s="37" t="str">
        <x:v>Claude Sonnet 4</x:v>
      </x:c>
      <x:c r="E24" s="34" t="str">
        <x:v>Review security Spring Security/OAuth2</x:v>
      </x:c>
      <x:c r="F24" s="34" t="str">
        <x:v>Review kiến trúc bảo mật CampusEvent dùng Spring Boot 2.7.14, Spring Security, OAuth2 Google, session/JWT và Student API có X-User-Email header. Chỉ ra rủi ro.</x:v>
      </x:c>
      <x:c r="G24" s="34" t="str">
        <x:v>AI chỉ ra rủi ro tin tưởng header từ client, cần lấy user từ SecurityContext, phân quyền endpoint, validate input và không hardcode secret.</x:v>
      </x:c>
      <x:c r="H24" s="37" t="str">
        <x:v>★★★★★
Phát hiện vấn đề quan trọng.</x:v>
      </x:c>
      <x:c r="I24" s="34" t="str">
        <x:v>- Ghi limitation của header trong demo.
- Thêm kiểm tra role.
- Không hardcode secret.</x:v>
      </x:c>
      <x:c r="J24" s="34" t="str">
        <x:v>AI rất hữu ích để review bảo mật, nhưng không nên copy cấu hình nếu chưa test kỹ.</x:v>
      </x:c>
      <x:c r="K24" s="70" t="n">
        <x:v>5</x:v>
      </x:c>
    </x:row>
    <x:row r="25" ht="92" customHeight="1">
      <x:c r="A25" s="37" t="n">
        <x:v>22</x:v>
      </x:c>
      <x:c r="B25" s="37" t="str">
        <x:v>Tuần 6</x:v>
      </x:c>
      <x:c r="C25" s="37" t="str">
        <x:v>15/06/2026
11:40</x:v>
      </x:c>
      <x:c r="D25" s="37" t="str">
        <x:v>ChatGPT-4o</x:v>
      </x:c>
      <x:c r="E25" s="34" t="str">
        <x:v>Thiết kế admin dashboard</x:v>
      </x:c>
      <x:c r="F25" s="34" t="str">
        <x:v>Hãy đề xuất dashboard cho Admin trong CampusEvent gồm số event, số registration, attendance rate, feedback average, email log và biểu đồ cần có.</x:v>
      </x:c>
      <x:c r="G25" s="34" t="str">
        <x:v>AI đề xuất KPI cards, biểu đồ event theo trạng thái, registration theo ngày, attendance rate và bảng hoạt động gần đây.</x:v>
      </x:c>
      <x:c r="H25" s="37" t="str">
        <x:v>★★★★☆
Ý tưởng đẹp nhưng cần đơn giản.</x:v>
      </x:c>
      <x:c r="I25" s="34" t="str">
        <x:v>- Bỏ activity log khỏi dashboard chính.
- Đưa hoạt động gần đây sang trang riêng.
- Giữ KPI và biểu đồ chính.</x:v>
      </x:c>
      <x:c r="J25" s="34" t="str">
        <x:v>Dashboard nên ưu tiên thông tin quan trọng, tránh nhồi quá nhiều làm người dùng rối.</x:v>
      </x:c>
      <x:c r="K25" s="70" t="n">
        <x:v>4</x:v>
      </x:c>
    </x:row>
    <x:row r="26" ht="92" customHeight="1">
      <x:c r="A26" s="37" t="n">
        <x:v>23</x:v>
      </x:c>
      <x:c r="B26" s="37" t="str">
        <x:v>Tuần 6</x:v>
      </x:c>
      <x:c r="C26" s="37" t="str">
        <x:v>17/06/2026
14:30</x:v>
      </x:c>
      <x:c r="D26" s="37" t="str">
        <x:v>GitHub Copilot</x:v>
      </x:c>
      <x:c r="E26" s="34" t="str">
        <x:v>Fix lỗi frontend fetch API</x:v>
      </x:c>
      <x:c r="F26" s="34" t="str">
        <x:v>// Kiểm tra lỗi fetch student events không hiện dữ liệu. API cần header X-User-Email và context path /api.</x:v>
      </x:c>
      <x:c r="G26" s="34" t="str">
        <x:v>Copilot gợi ý thêm header vào fetch, kiểm tra response.ok, catch error và render empty state nếu không có dữ liệu.</x:v>
      </x:c>
      <x:c r="H26" s="37" t="str">
        <x:v>★★★★☆
Giúp sửa lỗi nhanh.</x:v>
      </x:c>
      <x:c r="I26" s="34" t="str">
        <x:v>- Thêm X-User-Email đúng email test.
- Hiển thị loading/error.
- Log lỗi ngắn gọn để debug.</x:v>
      </x:c>
      <x:c r="J26" s="34" t="str">
        <x:v>Khi frontend không có data, cần kiểm tra URL, port, context path, header và CORS trước.</x:v>
      </x:c>
      <x:c r="K26" s="70" t="n">
        <x:v>4</x:v>
      </x:c>
    </x:row>
    <x:row r="27" ht="92" customHeight="1">
      <x:c r="A27" s="37" t="n">
        <x:v>24</x:v>
      </x:c>
      <x:c r="B27" s="37" t="str">
        <x:v>Tuần 6</x:v>
      </x:c>
      <x:c r="C27" s="37" t="str">
        <x:v>19/06/2026
16:10</x:v>
      </x:c>
      <x:c r="D27" s="37" t="str">
        <x:v>Claude Sonnet 4</x:v>
      </x:c>
      <x:c r="E27" s="34" t="str">
        <x:v>Review UI dashboard dễ dùng hơn</x:v>
      </x:c>
      <x:c r="F27" s="34" t="str">
        <x:v>Hãy review trang dashboard hiện tại và đề xuất layout đơn giản, màu đồng nhất, dễ demo. Không để hoạt động gần đây làm rối trang chính.</x:v>
      </x:c>
      <x:c r="G27" s="34" t="str">
        <x:v>AI đề xuất bố cục card KPI trên cùng, chart ở giữa, quick action bên phải và chuyển activity log sang trang riêng.</x:v>
      </x:c>
      <x:c r="H27" s="37" t="str">
        <x:v>★★★★★
Phù hợp yêu cầu giao diện.</x:v>
      </x:c>
      <x:c r="I27" s="34" t="str">
        <x:v>- Chọn màu xanh/trắng đồng nhất.
- Bỏ nút tải xuống không cần.
- Tạo trang riêng cho hoạt động gần đây.</x:v>
      </x:c>
      <x:c r="J27" s="34" t="str">
        <x:v>UI tốt không chỉ đẹp mà còn phải rõ luồng dùng, nhất là khi demo cho giảng viên.</x:v>
      </x:c>
      <x:c r="K27" s="70" t="n">
        <x:v>5</x:v>
      </x:c>
    </x:row>
    <x:row r="28" ht="92" customHeight="1">
      <x:c r="A28" s="36" t="n">
        <x:v>25</x:v>
      </x:c>
      <x:c r="B28" s="36" t="str">
        <x:v>Tuần 7</x:v>
      </x:c>
      <x:c r="C28" s="36" t="str">
        <x:v>20/06/2026
08:30</x:v>
      </x:c>
      <x:c r="D28" s="36" t="str">
        <x:v>ChatGPT-4o</x:v>
      </x:c>
      <x:c r="E28" s="32" t="str">
        <x:v>Chuẩn bị kịch bản demo 5 phút</x:v>
      </x:c>
      <x:c r="F28" s="32" t="str">
        <x:v>Hôm nay là tuần 7. Hãy viết kịch bản demo CampusEvent trong 5 phút, gồm mở đầu, vấn đề, giải pháp, flow chính, thuật toán ưu tiên và kết luận.</x:v>
      </x:c>
      <x:c r="G28" s="32" t="str">
        <x:v>AI tạo script demo theo timeline: giới thiệu bài toán, login, xem event, đăng ký, full slot/waiting list, check-in/check-out, feedback, dashboard.</x:v>
      </x:c>
      <x:c r="H28" s="36" t="str">
        <x:v>★★★★★
Rất phù hợp để luyện nói.</x:v>
      </x:c>
      <x:c r="I28" s="32" t="str">
        <x:v>- Rút gọn câu cho tự nhiên.
- Đưa thuật toán ưu tiên vào highlight.
- Chuẩn bị câu hỏi dự phòng.</x:v>
      </x:c>
      <x:c r="J28" s="32" t="str">
        <x:v>Tuần cuối nên dùng AI để luyện demo, kiểm checklist và tối ưu cách trình bày thay vì thêm chức năng mới.</x:v>
      </x:c>
      <x:c r="K28" s="70" t="n">
        <x:v>5</x:v>
      </x:c>
    </x:row>
    <x:row r="29" ht="92" customHeight="1">
      <x:c r="A29" s="36" t="n">
        <x:v>26</x:v>
      </x:c>
      <x:c r="B29" s="36" t="str">
        <x:v>Tuần 7</x:v>
      </x:c>
      <x:c r="C29" s="36" t="str">
        <x:v>20/06/2026
10:15</x:v>
      </x:c>
      <x:c r="D29" s="36" t="str">
        <x:v>Claude Sonnet 4</x:v>
      </x:c>
      <x:c r="E29" s="32" t="str">
        <x:v>Viết checklist trước khi nộp</x:v>
      </x:c>
      <x:c r="F29" s="32" t="str">
        <x:v>Hãy tạo checklist trước khi nộp dự án CampusEvent: code, database, API, UI, test case, Postman, slide, demo data và backup plan.</x:v>
      </x:c>
      <x:c r="G29" s="32" t="str">
        <x:v>AI tạo checklist theo nhóm việc, có mục cần kiểm tra trước demo như chạy backend, dữ liệu mẫu, account test, API chính, slide và file báo cáo.</x:v>
      </x:c>
      <x:c r="H29" s="36" t="str">
        <x:v>★★★★★
Rất cần cho buổi cuối.</x:v>
      </x:c>
      <x:c r="I29" s="32" t="str">
        <x:v>- Chia checklist cho từng thành viên.
- Đánh dấu việc bắt buộc trước demo.
- Thêm backup video/screenshot.</x:v>
      </x:c>
      <x:c r="J29" s="32" t="str">
        <x:v>Checklist cuối kỳ giúp tránh lỗi nhỏ như sai tài khoản test, database rỗng hoặc API chưa chạy.</x:v>
      </x:c>
      <x:c r="K29" s="70" t="n">
        <x:v>5</x:v>
      </x:c>
    </x:row>
    <x:row r="30" ht="92" customHeight="1">
      <x:c r="A30" s="36" t="n">
        <x:v>27</x:v>
      </x:c>
      <x:c r="B30" s="36" t="str">
        <x:v>Tuần 7</x:v>
      </x:c>
      <x:c r="C30" s="36" t="str">
        <x:v>20/06/2026
14:00</x:v>
      </x:c>
      <x:c r="D30" s="36" t="str">
        <x:v>ChatGPT-4o</x:v>
      </x:c>
      <x:c r="E30" s="32" t="str">
        <x:v>Chuẩn bị Q&amp;A cho giảng viên</x:v>
      </x:c>
      <x:c r="F30" s="32" t="str">
        <x:v>Hãy liệt kê các câu hỏi giảng viên có thể hỏi về CampusEvent: thuật toán ưu tiên, bảo mật header, testing, database, OAuth2 và điểm danh. Gợi ý câu trả lời ngắn.</x:v>
      </x:c>
      <x:c r="G30" s="32" t="str">
        <x:v>AI tạo danh sách câu hỏi và câu trả lời ngắn, tập trung vào lý do chọn thuật toán, cách chống đăng ký gian lận, test coverage và hạn chế của demo.</x:v>
      </x:c>
      <x:c r="H30" s="36" t="str">
        <x:v>★★★★☆
Có ích nhưng cần nói bằng lời mình.</x:v>
      </x:c>
      <x:c r="I30" s="32" t="str">
        <x:v>- Viết lại câu trả lời ngắn gọn hơn.
- Thêm câu hỏi về rollback transaction.
- Chia câu hỏi cho từng thành viên.</x:v>
      </x:c>
      <x:c r="J30" s="32" t="str">
        <x:v>Không nên học thuộc câu trả lời AI; cần hiểu ý chính để trả lời tự nhiên khi bị hỏi ngược.</x:v>
      </x:c>
      <x:c r="K30" s="70" t="n">
        <x:v>4</x:v>
      </x:c>
    </x:row>
    <x:row r="31" ht="92" customHeight="1">
      <x:c r="A31" s="36" t="n">
        <x:v>28</x:v>
      </x:c>
      <x:c r="B31" s="36" t="str">
        <x:v>Tuần 7</x:v>
      </x:c>
      <x:c r="C31" s="36" t="str">
        <x:v>20/06/2026
16:30</x:v>
      </x:c>
      <x:c r="D31" s="36" t="str">
        <x:v>GitHub Copilot</x:v>
      </x:c>
      <x:c r="E31" s="32" t="str">
        <x:v>Kiểm tra nhanh lỗi code trước demo</x:v>
      </x:c>
      <x:c r="F31" s="32" t="str">
        <x:v>// Review nhanh các file service/controller chính, tìm lỗi null pointer, sai endpoint, thiếu @Transactional, response status chưa đúng.</x:v>
      </x:c>
      <x:c r="G31" s="32" t="str">
        <x:v>Copilot gợi ý một số điểm cần kiểm tra: null check, exception handling, endpoint mapping, transaction, response DTO và log lỗi.</x:v>
      </x:c>
      <x:c r="H31" s="36" t="str">
        <x:v>★★★★☆
Hữu ích cho rà soát cuối.</x:v>
      </x:c>
      <x:c r="I31" s="32" t="str">
        <x:v>- Chỉ sửa lỗi chắc chắn.
- Không refactor lớn sát giờ demo.
- Chạy lại flow chính sau mỗi sửa.</x:v>
      </x:c>
      <x:c r="J31" s="32" t="str">
        <x:v>Gần deadline không nên thêm tính năng lớn; ưu tiên ổn định flow demo và dữ liệu mẫu.</x:v>
      </x:c>
      <x:c r="K31" s="70" t="n">
        <x:v>4</x:v>
      </x:c>
    </x:row>
  </x:sheetData>
  <x:mergeCells>
    <x:mergeCell ref="A1:J1"/>
    <x:mergeCell ref="A2:J2"/>
  </x:mergeCells>
  <x:pageMargins left="0.7" right="0.7" top="0.75" bottom="0.75" header="0.3" footer="0.3"/>
  <x:tableParts count="1">
    <x:tablePart xmlns:r="http://schemas.openxmlformats.org/officeDocument/2006/relationships" r:id="R411c35f2a71144f6"/>
  </x:tableParts>
</x:worksheet>
</file>

<file path=xl/worksheets/sheet2.xml><?xml version="1.0" encoding="utf-8"?>
<x:worksheet xmlns:x="http://schemas.openxmlformats.org/spreadsheetml/2006/main">
  <x:sheetFormatPr defaultRowHeight="15"/>
  <x:cols>
    <x:col min="1" max="1" width="12" hidden="0" customWidth="1"/>
    <x:col min="2" max="2" width="10" hidden="0" customWidth="1"/>
    <x:col min="3" max="3" width="12" hidden="0" customWidth="1"/>
    <x:col min="4" max="4" width="22" hidden="0" customWidth="1"/>
    <x:col min="5" max="5" width="38" hidden="0" customWidth="1"/>
    <x:col min="6" max="6" width="32" hidden="0" customWidth="1"/>
  </x:cols>
  <x:sheetData>
    <x:row r="1" ht="28" customHeight="1">
      <x:c r="A1" s="43" t="str">
        <x:v>Tổng quan AI Audit Log</x:v>
      </x:c>
      <x:c r="B1" s="43"/>
      <x:c r="C1" s="43"/>
      <x:c r="D1" s="43"/>
      <x:c r="E1" s="43"/>
      <x:c r="F1" s="43"/>
    </x:row>
    <x:row r="3">
      <x:c r="A3" s="53" t="str">
        <x:v>Tổng số log</x:v>
      </x:c>
      <x:c r="B3" s="58" t="n">
        <x:f>COUNTA('AI Audit Log'!$A$4:$A$31)</x:f>
        <x:v>28</x:v>
      </x:c>
    </x:row>
    <x:row r="4">
      <x:c r="A4" s="53" t="str">
        <x:v>Số tuần</x:v>
      </x:c>
      <x:c r="B4" s="58" t="n">
        <x:f>COUNTA(A8:A14)</x:f>
        <x:v>7</x:v>
      </x:c>
    </x:row>
    <x:row r="5">
      <x:c r="A5" s="53" t="str">
        <x:v>Log trung bình/tuần</x:v>
      </x:c>
      <x:c r="B5" s="62" t="n">
        <x:f>B3/B4</x:f>
        <x:v>4</x:v>
      </x:c>
    </x:row>
    <x:row r="7" ht="45" customHeight="1">
      <x:c r="A7" s="21" t="str">
        <x:v>Tuần</x:v>
      </x:c>
      <x:c r="B7" s="21" t="str">
        <x:v>Số log</x:v>
      </x:c>
      <x:c r="C7" s="21" t="str">
        <x:v>Log 5 sao</x:v>
      </x:c>
      <x:c r="D7" s="21" t="str">
        <x:v>Công cụ nổi bật</x:v>
      </x:c>
      <x:c r="E7" s="21" t="str">
        <x:v>Trọng tâm tuần</x:v>
      </x:c>
      <x:c r="F7" s="21" t="str">
        <x:v>Ghi chú</x:v>
      </x:c>
    </x:row>
    <x:row r="8" ht="45" customHeight="1">
      <x:c r="A8" s="66" t="str">
        <x:v>Tuần 1</x:v>
      </x:c>
      <x:c r="B8" s="66" t="n">
        <x:f>COUNTIF('AI Audit Log'!$B$4:$B$31,$A8)</x:f>
        <x:v>4</x:v>
      </x:c>
      <x:c r="C8" s="66" t="n">
        <x:f>COUNTIFS('AI Audit Log'!$B$4:$B$31,$A8,'AI Audit Log'!$K$4:$K$31,5)</x:f>
        <x:v>1</x:v>
      </x:c>
      <x:c r="D8" s="64" t="str">
        <x:v>ChatGPT-4o</x:v>
      </x:c>
      <x:c r="E8" s="64" t="str">
        <x:v>Xác định phạm vi, user story, workflow</x:v>
      </x:c>
      <x:c r="F8" s="64" t="str">
        <x:v>Chốt scope và module chính</x:v>
      </x:c>
    </x:row>
    <x:row r="9" ht="45" customHeight="1">
      <x:c r="A9" s="66" t="str">
        <x:v>Tuần 2</x:v>
      </x:c>
      <x:c r="B9" s="66" t="n">
        <x:f>COUNTIF('AI Audit Log'!$B$4:$B$31,$A9)</x:f>
        <x:v>4</x:v>
      </x:c>
      <x:c r="C9" s="66" t="n">
        <x:f>COUNTIFS('AI Audit Log'!$B$4:$B$31,$A9,'AI Audit Log'!$K$4:$K$31,5)</x:f>
        <x:v>2</x:v>
      </x:c>
      <x:c r="D9" s="64" t="str">
        <x:v>Claude + ChatGPT</x:v>
      </x:c>
      <x:c r="E9" s="64" t="str">
        <x:v>Database, entity JPA, API endpoint</x:v>
      </x:c>
      <x:c r="F9" s="64" t="str">
        <x:v>Tạo nền backend</x:v>
      </x:c>
    </x:row>
    <x:row r="10" ht="45" customHeight="1">
      <x:c r="A10" s="66" t="str">
        <x:v>Tuần 3</x:v>
      </x:c>
      <x:c r="B10" s="66" t="n">
        <x:f>COUNTIF('AI Audit Log'!$B$4:$B$31,$A10)</x:f>
        <x:v>4</x:v>
      </x:c>
      <x:c r="C10" s="66" t="n">
        <x:f>COUNTIFS('AI Audit Log'!$B$4:$B$31,$A10,'AI Audit Log'!$K$4:$K$31,5)</x:f>
        <x:v>3</x:v>
      </x:c>
      <x:c r="D10" s="64" t="str">
        <x:v>ChatGPT-4o</x:v>
      </x:c>
      <x:c r="E10" s="64" t="str">
        <x:v>Thuật toán ưu tiên slot/waiting list</x:v>
      </x:c>
      <x:c r="F10" s="64" t="str">
        <x:v>Điểm nổi bật của dự án</x:v>
      </x:c>
    </x:row>
    <x:row r="11" ht="45" customHeight="1">
      <x:c r="A11" s="66" t="str">
        <x:v>Tuần 4</x:v>
      </x:c>
      <x:c r="B11" s="66" t="n">
        <x:f>COUNTIF('AI Audit Log'!$B$4:$B$31,$A11)</x:f>
        <x:v>4</x:v>
      </x:c>
      <x:c r="C11" s="66" t="n">
        <x:f>COUNTIFS('AI Audit Log'!$B$4:$B$31,$A11,'AI Audit Log'!$K$4:$K$31,5)</x:f>
        <x:v>1</x:v>
      </x:c>
      <x:c r="D11" s="64" t="str">
        <x:v>Copilot + Claude</x:v>
      </x:c>
      <x:c r="E11" s="64" t="str">
        <x:v>Code service, attendance, QR/quiz</x:v>
      </x:c>
      <x:c r="F11" s="64" t="str">
        <x:v>Hoàn thiện nghiệp vụ chính</x:v>
      </x:c>
    </x:row>
    <x:row r="12" ht="45" customHeight="1">
      <x:c r="A12" s="66" t="str">
        <x:v>Tuần 5</x:v>
      </x:c>
      <x:c r="B12" s="66" t="n">
        <x:f>COUNTIF('AI Audit Log'!$B$4:$B$31,$A12)</x:f>
        <x:v>4</x:v>
      </x:c>
      <x:c r="C12" s="66" t="n">
        <x:f>COUNTIFS('AI Audit Log'!$B$4:$B$31,$A12,'AI Audit Log'!$K$4:$K$31,5)</x:f>
        <x:v>1</x:v>
      </x:c>
      <x:c r="D12" s="64" t="str">
        <x:v>ChatGPT + Claude</x:v>
      </x:c>
      <x:c r="E12" s="64" t="str">
        <x:v>Test case, Postman, unit test</x:v>
      </x:c>
      <x:c r="F12" s="64" t="str">
        <x:v>Chuẩn bị môn testing</x:v>
      </x:c>
    </x:row>
    <x:row r="13" ht="45" customHeight="1">
      <x:c r="A13" s="66" t="str">
        <x:v>Tuần 6</x:v>
      </x:c>
      <x:c r="B13" s="66" t="n">
        <x:f>COUNTIF('AI Audit Log'!$B$4:$B$31,$A13)</x:f>
        <x:v>4</x:v>
      </x:c>
      <x:c r="C13" s="66" t="n">
        <x:f>COUNTIFS('AI Audit Log'!$B$4:$B$31,$A13,'AI Audit Log'!$K$4:$K$31,5)</x:f>
        <x:v>2</x:v>
      </x:c>
      <x:c r="D13" s="64" t="str">
        <x:v>Claude + Copilot</x:v>
      </x:c>
      <x:c r="E13" s="64" t="str">
        <x:v>Security, dashboard, frontend fix</x:v>
      </x:c>
      <x:c r="F13" s="64" t="str">
        <x:v>Ổn định hệ thống</x:v>
      </x:c>
    </x:row>
    <x:row r="14" ht="45" customHeight="1">
      <x:c r="A14" s="66" t="str">
        <x:v>Tuần 7</x:v>
      </x:c>
      <x:c r="B14" s="66" t="n">
        <x:f>COUNTIF('AI Audit Log'!$B$4:$B$31,$A14)</x:f>
        <x:v>4</x:v>
      </x:c>
      <x:c r="C14" s="66" t="n">
        <x:f>COUNTIFS('AI Audit Log'!$B$4:$B$31,$A14,'AI Audit Log'!$K$4:$K$31,5)</x:f>
        <x:v>2</x:v>
      </x:c>
      <x:c r="D14" s="64" t="str">
        <x:v>ChatGPT + Claude</x:v>
      </x:c>
      <x:c r="E14" s="64" t="str">
        <x:v>Demo script, checklist, Q&amp;A</x:v>
      </x:c>
      <x:c r="F14" s="64" t="str">
        <x:v>Chuẩn bị bảo vệ</x:v>
      </x:c>
    </x:row>
    <x:row r="17" ht="35" customHeight="1">
      <x:c r="A17" s="68" t="str">
        <x:v>Công cụ AI</x:v>
      </x:c>
      <x:c r="B17" s="68" t="str">
        <x:v>Số lần dùng</x:v>
      </x:c>
      <x:c r="C17" s="68" t="str">
        <x:v>Ghi chú</x:v>
      </x:c>
    </x:row>
    <x:row r="18" ht="35" customHeight="1">
      <x:c r="A18" s="64" t="str">
        <x:v>ChatGPT-4o</x:v>
      </x:c>
      <x:c r="B18" s="66" t="n">
        <x:f>COUNTIF('AI Audit Log'!$D$4:$D$31,A18)</x:f>
        <x:v>13</x:v>
      </x:c>
      <x:c r="C18" s="64" t="str">
        <x:v>Phù hợp brainstorming, test case, demo script</x:v>
      </x:c>
    </x:row>
    <x:row r="19" ht="35" customHeight="1">
      <x:c r="A19" s="64" t="str">
        <x:v>Claude Sonnet 4</x:v>
      </x:c>
      <x:c r="B19" s="66" t="n">
        <x:f>COUNTIF('AI Audit Log'!$D$4:$D$31,A19)</x:f>
        <x:v>8</x:v>
      </x:c>
      <x:c r="C19" s="64" t="str">
        <x:v>Mạnh về tài liệu, review logic và security</x:v>
      </x:c>
    </x:row>
    <x:row r="20" ht="35" customHeight="1">
      <x:c r="A20" s="64" t="str">
        <x:v>GitHub Copilot</x:v>
      </x:c>
      <x:c r="B20" s="66" t="n">
        <x:f>COUNTIF('AI Audit Log'!$D$4:$D$31,A20)</x:f>
        <x:v>7</x:v>
      </x:c>
      <x:c r="C20" s="64" t="str">
        <x:v>Hữu ích khi sinh code trong IDE</x:v>
      </x:c>
    </x:row>
  </x:sheetData>
  <x:mergeCells>
    <x:mergeCell ref="A1:F1"/>
  </x:mergeCells>
  <x:pageMargins left="0.7" right="0.7" top="0.75" bottom="0.75" header="0.3" footer="0.3"/>
  <x:drawing xmlns:r="http://schemas.openxmlformats.org/officeDocument/2006/relationships" r:id="R11abd19e86ca4cae"/>
</x:worksheet>
</file>