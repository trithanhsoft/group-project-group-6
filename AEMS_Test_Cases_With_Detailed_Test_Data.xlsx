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Test Cases" state="visible" r:id="rId5"/>
    <sheet sheetId="3" name="Auth User Data" state="visible" r:id="rId6"/>
    <sheet sheetId="4" name="Student Data" state="visible" r:id="rId7"/>
    <sheet sheetId="5" name="Department Event Data" state="visible" r:id="rId8"/>
    <sheet sheetId="6" name="Proposal Approval Data" state="visible" r:id="rId9"/>
    <sheet sheetId="7" name="Registration RBL Data" state="visible" r:id="rId10"/>
    <sheet sheetId="8" name="Attendance QR Data" state="visible" r:id="rId11"/>
    <sheet sheetId="9" name="Quiz Feedback Data" state="visible" r:id="rId12"/>
    <sheet sheetId="10" name="Dashboard Report Data" state="visible" r:id="rId13"/>
    <sheet sheetId="11" name="Security Negative Data" state="visible" r:id="rId14"/>
  </sheets>
  <calcPr calcId="171027"/>
</workbook>
</file>

<file path=xl/sharedStrings.xml><?xml version="1.0" encoding="utf-8"?>
<sst xmlns="http://schemas.openxmlformats.org/spreadsheetml/2006/main" count="1720" uniqueCount="942">
  <si>
    <t>AEMS — Test Cases &amp; Test Data Dashboard</t>
  </si>
  <si>
    <t>Tổng số Test Case</t>
  </si>
  <si>
    <t>Tất cả test case trong sheet Test Cases</t>
  </si>
  <si>
    <t>Tổng bản ghi Test Data</t>
  </si>
  <si>
    <t>Cộng dồn các sheet dữ liệu</t>
  </si>
  <si>
    <t>High Priority</t>
  </si>
  <si>
    <t>Số test case ưu tiên cao</t>
  </si>
  <si>
    <t>Medium Priority</t>
  </si>
  <si>
    <t/>
  </si>
  <si>
    <t>Low Priority</t>
  </si>
  <si>
    <t>Not Started</t>
  </si>
  <si>
    <t>Theo cột Status</t>
  </si>
  <si>
    <t>Passed</t>
  </si>
  <si>
    <t>Failed</t>
  </si>
  <si>
    <t>Phạm vi kiểm thử theo Module</t>
  </si>
  <si>
    <t>Module</t>
  </si>
  <si>
    <t>Số TC</t>
  </si>
  <si>
    <t>Authentication &amp; Role</t>
  </si>
  <si>
    <t>User Management</t>
  </si>
  <si>
    <t>Event Proposal</t>
  </si>
  <si>
    <t>Approval Workflow</t>
  </si>
  <si>
    <t>Event Management</t>
  </si>
  <si>
    <t>Registration &amp; Waitlist</t>
  </si>
  <si>
    <t>RBL Priority</t>
  </si>
  <si>
    <t>Dynamic QR &amp; Google Form</t>
  </si>
  <si>
    <t>Quiz, Feedback &amp; Checkout</t>
  </si>
  <si>
    <t>Dashboard, Email &amp; Report</t>
  </si>
  <si>
    <t>Security &amp; Access Control</t>
  </si>
  <si>
    <t>Phân công theo thành viên</t>
  </si>
  <si>
    <t>Thành viên</t>
  </si>
  <si>
    <t>DatHVT</t>
  </si>
  <si>
    <t>SangTM</t>
  </si>
  <si>
    <t>TuHNC</t>
  </si>
  <si>
    <t>AnhNVT</t>
  </si>
  <si>
    <t>Test Case ID</t>
  </si>
  <si>
    <t>Test Case Name</t>
  </si>
  <si>
    <t>Objective</t>
  </si>
  <si>
    <t>Preconditions</t>
  </si>
  <si>
    <t>Test Steps</t>
  </si>
  <si>
    <t>Test Data ID</t>
  </si>
  <si>
    <t>Test Data Detail</t>
  </si>
  <si>
    <t>Expected Result</t>
  </si>
  <si>
    <t>Priority</t>
  </si>
  <si>
    <t>Assigned To</t>
  </si>
  <si>
    <t>Week</t>
  </si>
  <si>
    <t>Status</t>
  </si>
  <si>
    <t>Actual Result</t>
  </si>
  <si>
    <t>Notes</t>
  </si>
  <si>
    <t>AUTH-001</t>
  </si>
  <si>
    <t>Đăng nhập tài khoản Sinh viên hợp lệ</t>
  </si>
  <si>
    <t>Kiểm tra sinh viên đăng nhập thành công và vào đúng dashboard.</t>
  </si>
  <si>
    <t>Tài khoản sinh viên tồn tại, trạng thái ACTIVE.</t>
  </si>
  <si>
    <t xml:space="preserve">1. Mở trang Đăng nhập
2. Nhập email + mật khẩu sinh viên
3. Bấm Đăng nhập</t>
  </si>
  <si>
    <t>TD-AUTH-004</t>
  </si>
  <si>
    <t>student1@fpt.edu.vn / Stu123@</t>
  </si>
  <si>
    <t>Đăng nhập thành công, chuyển đến màn hình Sinh viên (screen-student).</t>
  </si>
  <si>
    <t>High</t>
  </si>
  <si>
    <t>Week 1</t>
  </si>
  <si>
    <t>AUTH-002</t>
  </si>
  <si>
    <t>Đăng nhập Trưởng khoa (Department Head)</t>
  </si>
  <si>
    <t>Kiểm tra trưởng khoa vào được console khoa.</t>
  </si>
  <si>
    <t>Tài khoản DEPARTMENT có department_position = HEAD, ACTIVE.</t>
  </si>
  <si>
    <t xml:space="preserve">1. Mở trang Đăng nhập
2. Nhập tài khoản trưởng khoa
3. Bấm Đăng nhập</t>
  </si>
  <si>
    <t>TD-AUTH-002</t>
  </si>
  <si>
    <t>department@aems.com / Dept123@</t>
  </si>
  <si>
    <t>Đăng nhập thành công, chuyển đến màn hình Khoa (screen-department).</t>
  </si>
  <si>
    <t>AUTH-003</t>
  </si>
  <si>
    <t>Đăng nhập sai mật khẩu</t>
  </si>
  <si>
    <t>Kiểm tra hệ thống từ chối mật khẩu sai.</t>
  </si>
  <si>
    <t>Tài khoản tồn tại.</t>
  </si>
  <si>
    <t xml:space="preserve">1. Nhập email hợp lệ
2. Nhập mật khẩu sai
3. Bấm Đăng nhập</t>
  </si>
  <si>
    <t>TD-AUTH-006</t>
  </si>
  <si>
    <t>student1@fpt.edu.vn / wrong123</t>
  </si>
  <si>
    <t>Báo lỗi "Email hoặc mật khẩu không đúng"; không đăng nhập.</t>
  </si>
  <si>
    <t>AUTH-004</t>
  </si>
  <si>
    <t>Đăng nhập email không tồn tại</t>
  </si>
  <si>
    <t>Kiểm tra từ chối tài khoản không tồn tại.</t>
  </si>
  <si>
    <t>Email chưa đăng ký trong hệ thống.</t>
  </si>
  <si>
    <t xml:space="preserve">1. Nhập email lạ
2. Nhập mật khẩu bất kỳ
3. Bấm Đăng nhập</t>
  </si>
  <si>
    <t>TD-AUTH-007</t>
  </si>
  <si>
    <t>unknown@fpt.edu.vn / Stu123@</t>
  </si>
  <si>
    <t>Báo lỗi "Email hoặc mật khẩu không đúng" (không lộ email tồn tại hay không).</t>
  </si>
  <si>
    <t>Medium</t>
  </si>
  <si>
    <t>AUTH-005</t>
  </si>
  <si>
    <t>Đăng xuất khỏi hệ thống</t>
  </si>
  <si>
    <t>Kiểm tra đăng xuất xóa phiên an toàn.</t>
  </si>
  <si>
    <t>Người dùng đang đăng nhập.</t>
  </si>
  <si>
    <t xml:space="preserve">1. Bấm Đăng xuất
2. Bấm Back / mở lại trang nội bộ trước đó</t>
  </si>
  <si>
    <t>Phiên sinh viên đang đăng nhập</t>
  </si>
  <si>
    <t>Phiên bị xóa; quay về trang Đăng nhập; trang nội bộ yêu cầu đăng nhập lại.</t>
  </si>
  <si>
    <t>AUTH-006</t>
  </si>
  <si>
    <t>Khóa đăng nhập khi brute-force</t>
  </si>
  <si>
    <t>Kiểm tra chống dò mật khẩu: khóa sau 5 lần sai.</t>
  </si>
  <si>
    <t>Tài khoản tồn tại; AttemptLimiter bật.</t>
  </si>
  <si>
    <t xml:space="preserve">1. Nhập sai mật khẩu liên tiếp 5 lần
2. Thử đăng nhập lần 6 (kể cả mật khẩu đúng)</t>
  </si>
  <si>
    <t>TD-AUTH-010</t>
  </si>
  <si>
    <t>student1@fpt.edu.vn + 5 lần mật khẩu sai</t>
  </si>
  <si>
    <t>Sau 5 lần sai tài khoản/IP bị khóa 15 phút, báo "Thử lại sau ít phút".</t>
  </si>
  <si>
    <t>Week 2</t>
  </si>
  <si>
    <t>AUTH-007</t>
  </si>
  <si>
    <t>Đăng nhập bằng Google (OAuth2)</t>
  </si>
  <si>
    <t>Kiểm tra Sign in with Google ánh xạ đúng vai trò.</t>
  </si>
  <si>
    <t>Email Google đã được seed là trưởng khoa; OAuth2 cấu hình scope Forms/Drive.</t>
  </si>
  <si>
    <t xml:space="preserve">1. Bấm "Sign in with Google"
2. Chọn tài khoản Google
3. Cấp quyền (lần đầu)</t>
  </si>
  <si>
    <t>TD-AUTH-008</t>
  </si>
  <si>
    <t>hovanthongdat90@gmail.com (Google)</t>
  </si>
  <si>
    <t>Đăng nhập thành công, nhận vai trò HEAD, có token Google để tạo/đồng bộ Form.</t>
  </si>
  <si>
    <t>AUTH-008</t>
  </si>
  <si>
    <t>Đăng ký tài khoản qua OTP email</t>
  </si>
  <si>
    <t>Kiểm tra luồng đăng ký xác thực OTP.</t>
  </si>
  <si>
    <t>Email chưa tồn tại; SMTP hoạt động.</t>
  </si>
  <si>
    <t xml:space="preserve">1. Mở Đăng ký
2. Nhập thông tin + mật khẩu ≥ 8 ký tự
3. Nhận OTP qua email
4. Nhập OTP đúng</t>
  </si>
  <si>
    <t>TD-AUTH-011</t>
  </si>
  <si>
    <t>newstudent@fpt.edu.vn / NewPass123@ + OTP</t>
  </si>
  <si>
    <t>OTP đúng → tạo tài khoản STUDENT thành công; OTP sai/hết hạn → từ chối.</t>
  </si>
  <si>
    <t>USER-001</t>
  </si>
  <si>
    <t>Admin xem danh sách người dùng</t>
  </si>
  <si>
    <t>Kiểm tra Admin xem được toàn bộ user theo vai trò.</t>
  </si>
  <si>
    <t>Đăng nhập Admin; có dữ liệu user.</t>
  </si>
  <si>
    <t xml:space="preserve">1. Đăng nhập Admin
2. Mở mục Người dùng</t>
  </si>
  <si>
    <t>TD-AUTH-001</t>
  </si>
  <si>
    <t>admin@aems.com / Admin123@</t>
  </si>
  <si>
    <t>Hiển thị danh sách user kèm vai trò, trạng thái; lọc/đếm đúng theo vai trò.</t>
  </si>
  <si>
    <t>USER-002</t>
  </si>
  <si>
    <t>Admin tạo user sinh viên mới</t>
  </si>
  <si>
    <t>Kiểm tra tạo user hợp lệ.</t>
  </si>
  <si>
    <t>Đăng nhập Admin.</t>
  </si>
  <si>
    <t xml:space="preserve">1. Mở form tạo user
2. Nhập email/họ tên/vai trò STUDENT
3. Lưu</t>
  </si>
  <si>
    <t>TD-USR-001</t>
  </si>
  <si>
    <t>newuser@fpt.edu.vn, STUDENT</t>
  </si>
  <si>
    <t>Tạo thành công, user xuất hiện trong danh sách với trạng thái ACTIVE.</t>
  </si>
  <si>
    <t>Week 3</t>
  </si>
  <si>
    <t>USER-003</t>
  </si>
  <si>
    <t>Tạo user trùng email</t>
  </si>
  <si>
    <t>Kiểm tra chặn email trùng.</t>
  </si>
  <si>
    <t>Đã tồn tại email cần tạo.</t>
  </si>
  <si>
    <t xml:space="preserve">1. Tạo user với email đã tồn tại
2. Lưu</t>
  </si>
  <si>
    <t>TD-USR-002</t>
  </si>
  <si>
    <t>student1@fpt.edu.vn (đã tồn tại)</t>
  </si>
  <si>
    <t>Báo lỗi email đã tồn tại; không tạo bản ghi trùng.</t>
  </si>
  <si>
    <t>USER-004</t>
  </si>
  <si>
    <t>Admin cập nhật vai trò user</t>
  </si>
  <si>
    <t>Kiểm tra đổi vai trò có hiệu lực.</t>
  </si>
  <si>
    <t>User tồn tại.</t>
  </si>
  <si>
    <t xml:space="preserve">1. Mở user
2. Đổi vai trò STUDENT → COMMITTEE
3. Lưu</t>
  </si>
  <si>
    <t>TD-USR-003</t>
  </si>
  <si>
    <t>student7@fpt.edu.vn → COMMITTEE</t>
  </si>
  <si>
    <t>Vai trò cập nhật; phân quyền truy cập thay đổi theo vai trò mới.</t>
  </si>
  <si>
    <t>USER-005</t>
  </si>
  <si>
    <t>Vô hiệu hóa tài khoản</t>
  </si>
  <si>
    <t>Kiểm tra tài khoản DISABLED không đăng nhập được.</t>
  </si>
  <si>
    <t>User đang ACTIVE.</t>
  </si>
  <si>
    <t xml:space="preserve">1. Đặt user thành DISABLED
2. Thử đăng nhập bằng tài khoản đó</t>
  </si>
  <si>
    <t>TD-AUTH-005</t>
  </si>
  <si>
    <t>student2@fpt.edu.vn (DISABLED)</t>
  </si>
  <si>
    <t>Tài khoản bị vô hiệu không đăng nhập được; báo lỗi phù hợp.</t>
  </si>
  <si>
    <t>PROP-001</t>
  </si>
  <si>
    <t>Khoa tạo đề xuất hợp lệ</t>
  </si>
  <si>
    <t>Kiểm tra tạo đề xuất sự kiện đầy đủ thông tin.</t>
  </si>
  <si>
    <t>Đăng nhập DEPARTMENT.</t>
  </si>
  <si>
    <t xml:space="preserve">1. Mở form tạo đề xuất
2. Nhập tiêu đề, ngày tương lai, sức chứa, mô tả, câu hỏi quiz/feedback
3. Gửi</t>
  </si>
  <si>
    <t>TD-PROP-001</t>
  </si>
  <si>
    <t>P001 "AI Workshop" hợp lệ</t>
  </si>
  <si>
    <t>Lưu đề xuất ở trạng thái PENDING chờ hội đồng duyệt.</t>
  </si>
  <si>
    <t>PROP-002</t>
  </si>
  <si>
    <t>Tạo đề xuất thiếu tiêu đề</t>
  </si>
  <si>
    <t>Kiểm tra ràng buộc bắt buộc tiêu đề.</t>
  </si>
  <si>
    <t xml:space="preserve">1. Bỏ trống tiêu đề
2. Gửi đề xuất</t>
  </si>
  <si>
    <t>TD-PROP-002</t>
  </si>
  <si>
    <t>P002 tiêu đề rỗng</t>
  </si>
  <si>
    <t>Báo lỗi xác thực; không lưu.</t>
  </si>
  <si>
    <t>PROP-003</t>
  </si>
  <si>
    <t>Tạo đề xuất ngày trong quá khứ</t>
  </si>
  <si>
    <t>Kiểm tra ràng buộc ngày tổ chức.</t>
  </si>
  <si>
    <t xml:space="preserve">1. Chọn ngày tổ chức trong quá khứ
2. Gửi</t>
  </si>
  <si>
    <t>TD-PROP-003</t>
  </si>
  <si>
    <t>P003 ngày quá khứ</t>
  </si>
  <si>
    <t>Báo lỗi ngày không hợp lệ; không lưu.</t>
  </si>
  <si>
    <t>PROP-004</t>
  </si>
  <si>
    <t>Tạo đề xuất sức chứa không hợp lệ</t>
  </si>
  <si>
    <t>Kiểm tra ràng buộc sức chứa &gt; 0.</t>
  </si>
  <si>
    <t xml:space="preserve">1. Nhập sức chứa = -10
2. Gửi</t>
  </si>
  <si>
    <t>TD-PROP-004</t>
  </si>
  <si>
    <t>P004 capacity = -10</t>
  </si>
  <si>
    <t>Báo lỗi sức chứa không hợp lệ; không lưu.</t>
  </si>
  <si>
    <t>PROP-005</t>
  </si>
  <si>
    <t>Khoa xem đề xuất của mình</t>
  </si>
  <si>
    <t>Kiểm tra danh sách đề xuất theo khoa.</t>
  </si>
  <si>
    <t>Khoa đã có đề xuất.</t>
  </si>
  <si>
    <t>1. Mở danh sách đề xuất</t>
  </si>
  <si>
    <t>TD-PROP-006</t>
  </si>
  <si>
    <t>P006 (PENDING) của khoa</t>
  </si>
  <si>
    <t>Hiển thị đúng đề xuất của khoa kèm trạng thái.</t>
  </si>
  <si>
    <t>Low</t>
  </si>
  <si>
    <t>PROP-006</t>
  </si>
  <si>
    <t>Sửa đề xuất khi PENDING</t>
  </si>
  <si>
    <t>Kiểm tra cho phép sửa khi chưa duyệt.</t>
  </si>
  <si>
    <t>Đề xuất ở trạng thái PENDING.</t>
  </si>
  <si>
    <t xml:space="preserve">1. Mở đề xuất PENDING
2. Sửa mô tả/sức chứa
3. Lưu</t>
  </si>
  <si>
    <t>P006 (PENDING)</t>
  </si>
  <si>
    <t>Cập nhật thành công, vẫn ở trạng thái PENDING.</t>
  </si>
  <si>
    <t>PROP-007</t>
  </si>
  <si>
    <t>Không cho sửa đề xuất đã duyệt</t>
  </si>
  <si>
    <t>Kiểm tra khóa chỉnh sửa sau khi APPROVED.</t>
  </si>
  <si>
    <t>Đề xuất ở trạng thái APPROVED.</t>
  </si>
  <si>
    <t xml:space="preserve">1. Mở đề xuất APPROVED
2. Thử sửa</t>
  </si>
  <si>
    <t>TD-PROP-007</t>
  </si>
  <si>
    <t>P007 (APPROVED)</t>
  </si>
  <si>
    <t>Không cho sửa / chỉ đọc; báo đã duyệt.</t>
  </si>
  <si>
    <t>APP-001</t>
  </si>
  <si>
    <t>Hội đồng duyệt đề xuất</t>
  </si>
  <si>
    <t>Kiểm tra duyệt chuyển trạng thái APPROVED.</t>
  </si>
  <si>
    <t>Đăng nhập COMMITTEE; có đề xuất PENDING.</t>
  </si>
  <si>
    <t xml:space="preserve">1. Mở đề xuất PENDING
2. Bấm Duyệt</t>
  </si>
  <si>
    <t>P001 (PENDING)</t>
  </si>
  <si>
    <t>Trạng thái → APPROVED; sẵn sàng tạo sự kiện.</t>
  </si>
  <si>
    <t>APP-002</t>
  </si>
  <si>
    <t>Hội đồng từ chối đề xuất</t>
  </si>
  <si>
    <t>Kiểm tra từ chối kèm lý do.</t>
  </si>
  <si>
    <t xml:space="preserve">1. Mở đề xuất
2. Bấm Từ chối + nhập lý do</t>
  </si>
  <si>
    <t>TD-PROP-008</t>
  </si>
  <si>
    <t>P008 (PENDING) → từ chối</t>
  </si>
  <si>
    <t>Trạng thái → REJECTED; lý do hiển thị cho khoa.</t>
  </si>
  <si>
    <t>Week 4</t>
  </si>
  <si>
    <t>APP-003</t>
  </si>
  <si>
    <t>Hội đồng yêu cầu chỉnh sửa</t>
  </si>
  <si>
    <t>Kiểm tra yêu cầu revise.</t>
  </si>
  <si>
    <t xml:space="preserve">1. Mở đề xuất
2. Bấm Yêu cầu chỉnh sửa + ghi chú</t>
  </si>
  <si>
    <t>TD-PROP-005</t>
  </si>
  <si>
    <t>P005 → REVISION_REQUIRED</t>
  </si>
  <si>
    <t>Trạng thái → REVISION_REQUIRED; khoa nhận ghi chú.</t>
  </si>
  <si>
    <t>APP-004</t>
  </si>
  <si>
    <t>Khoa nộp lại sau chỉnh sửa</t>
  </si>
  <si>
    <t>Kiểm tra resubmit về PENDING.</t>
  </si>
  <si>
    <t>Đề xuất ở REVISION_REQUIRED.</t>
  </si>
  <si>
    <t xml:space="preserve">1. Khoa sửa theo ghi chú
2. Nộp lại</t>
  </si>
  <si>
    <t>P005 (REVISION_REQUIRED)</t>
  </si>
  <si>
    <t>Trạng thái quay lại PENDING chờ duyệt.</t>
  </si>
  <si>
    <t>APP-005</t>
  </si>
  <si>
    <t>Chặn duyệt trùng</t>
  </si>
  <si>
    <t>Kiểm tra không duyệt 2 lần.</t>
  </si>
  <si>
    <t>Đề xuất đã APPROVED.</t>
  </si>
  <si>
    <t xml:space="preserve">1. Mở đề xuất đã duyệt
2. Thử bấm Duyệt lại</t>
  </si>
  <si>
    <t>Hệ thống chặn / báo đã xử lý; không đổi trạng thái.</t>
  </si>
  <si>
    <t>APP-006</t>
  </si>
  <si>
    <t>Chỉ Hội đồng được duyệt</t>
  </si>
  <si>
    <t>Kiểm tra phân quyền duyệt.</t>
  </si>
  <si>
    <t>Đăng nhập tài khoản không phải COMMITTEE.</t>
  </si>
  <si>
    <t xml:space="preserve">1. Đăng nhập DEPARTMENT/STUDENT
2. Gọi action duyệt đề xuất</t>
  </si>
  <si>
    <t>TD-SEC-002</t>
  </si>
  <si>
    <t>student1@fpt.edu.vn gọi duyệt</t>
  </si>
  <si>
    <t>Bị từ chối quyền (403); không duyệt được.</t>
  </si>
  <si>
    <t>Week 5</t>
  </si>
  <si>
    <t>EVT-001</t>
  </si>
  <si>
    <t>Tạo sự kiện từ đề xuất đã duyệt</t>
  </si>
  <si>
    <t>Kiểm tra sinh sự kiện ACTIVE từ proposal APPROVED.</t>
  </si>
  <si>
    <t>Đề xuất APPROVED.</t>
  </si>
  <si>
    <t xml:space="preserve">1. Từ đề xuất APPROVED tạo sự kiện
2. Kiểm tra dữ liệu mang sang</t>
  </si>
  <si>
    <t>TD-EVT-001</t>
  </si>
  <si>
    <t>EV001 từ P001</t>
  </si>
  <si>
    <t>Sự kiện ACTIVE tạo thành công với thông tin/ảnh/diễn giả từ đề xuất.</t>
  </si>
  <si>
    <t>EVT-002</t>
  </si>
  <si>
    <t>Xem danh sách sự kiện</t>
  </si>
  <si>
    <t>Kiểm tra hiển thị danh sách sự kiện.</t>
  </si>
  <si>
    <t>Có dữ liệu sự kiện.</t>
  </si>
  <si>
    <t>1. Mở danh sách sự kiện (sinh viên/khoa)</t>
  </si>
  <si>
    <t>TD-EVT-002</t>
  </si>
  <si>
    <t>EV002 trong danh sách</t>
  </si>
  <si>
    <t>Hiển thị danh sách kèm trạng thái, thời gian, sức chứa, đã đăng ký.</t>
  </si>
  <si>
    <t>EVT-003</t>
  </si>
  <si>
    <t>Xem chi tiết sự kiện</t>
  </si>
  <si>
    <t>Kiểm tra trang chi tiết sự kiện.</t>
  </si>
  <si>
    <t>Sự kiện tồn tại.</t>
  </si>
  <si>
    <t>1. Bấm vào 1 sự kiện</t>
  </si>
  <si>
    <t>EV001</t>
  </si>
  <si>
    <t>Hiển thị đầy đủ mô tả, diễn giả, địa điểm, thời gian, nút đăng ký.</t>
  </si>
  <si>
    <t>EVT-004</t>
  </si>
  <si>
    <t>Tìm kiếm sự kiện theo từ khóa</t>
  </si>
  <si>
    <t>Kiểm tra tìm kiếm.</t>
  </si>
  <si>
    <t>Có sự kiện chứa từ khóa.</t>
  </si>
  <si>
    <t xml:space="preserve">1. Nhập từ khóa "Cloud"
2. Xem kết quả</t>
  </si>
  <si>
    <t>keyword "Cloud" → EV002</t>
  </si>
  <si>
    <t>Trả về đúng sự kiện khớp từ khóa.</t>
  </si>
  <si>
    <t>Week 6</t>
  </si>
  <si>
    <t>EVT-005</t>
  </si>
  <si>
    <t>Lọc sự kiện theo khoa</t>
  </si>
  <si>
    <t>Kiểm tra bộ lọc theo khoa.</t>
  </si>
  <si>
    <t>Có sự kiện nhiều khoa.</t>
  </si>
  <si>
    <t>1. Chọn lọc khoa "Software Engineering"</t>
  </si>
  <si>
    <t>filter DEP-SE</t>
  </si>
  <si>
    <t>Chỉ hiển thị sự kiện thuộc khoa được chọn.</t>
  </si>
  <si>
    <t>EVT-006</t>
  </si>
  <si>
    <t>Hủy sự kiện</t>
  </si>
  <si>
    <t>Kiểm tra hủy sự kiện.</t>
  </si>
  <si>
    <t>Sự kiện ACTIVE.</t>
  </si>
  <si>
    <t xml:space="preserve">1. Mở sự kiện
2. Bấm Hủy</t>
  </si>
  <si>
    <t>TD-EVT-003</t>
  </si>
  <si>
    <t>EV003 → CANCELLED</t>
  </si>
  <si>
    <t>Trạng thái → CANCELLED; sinh viên không đăng ký được nữa.</t>
  </si>
  <si>
    <t>REG-001</t>
  </si>
  <si>
    <t>Sinh viên đăng ký sự kiện còn chỗ</t>
  </si>
  <si>
    <t>Kiểm tra đăng ký thành công.</t>
  </si>
  <si>
    <t>Sự kiện ACTIVE còn chỗ; sinh viên đăng nhập.</t>
  </si>
  <si>
    <t xml:space="preserve">1. Mở sự kiện còn chỗ
2. Bấm Đăng ký</t>
  </si>
  <si>
    <t>TD-REG-001</t>
  </si>
  <si>
    <t>DE190533 → EV001</t>
  </si>
  <si>
    <t>Trạng thái REGISTERED; gửi email xác nhận; số đã đăng ký +1.</t>
  </si>
  <si>
    <t>REG-002</t>
  </si>
  <si>
    <t>Chặn đăng ký trùng</t>
  </si>
  <si>
    <t>Kiểm tra không đăng ký 2 lần.</t>
  </si>
  <si>
    <t>Sinh viên đã đăng ký sự kiện.</t>
  </si>
  <si>
    <t>1. Đăng ký lại cùng sự kiện</t>
  </si>
  <si>
    <t>TD-REG-002</t>
  </si>
  <si>
    <t>DE190533 → EV001 (lần 2)</t>
  </si>
  <si>
    <t>Báo "Đã đăng ký"; không tạo bản ghi trùng.</t>
  </si>
  <si>
    <t>REG-003</t>
  </si>
  <si>
    <t>Đăng ký sự kiện đầy → Waitlist</t>
  </si>
  <si>
    <t>Kiểm tra vào hàng chờ khi hết chỗ.</t>
  </si>
  <si>
    <t>Sự kiện đã đầy.</t>
  </si>
  <si>
    <t>1. Đăng ký sự kiện đã đầy</t>
  </si>
  <si>
    <t>TD-REG-003</t>
  </si>
  <si>
    <t>DE190534 → EV004 (đầy)</t>
  </si>
  <si>
    <t>Trạng thái WAITLIST; được xếp hàng chờ.</t>
  </si>
  <si>
    <t>REG-004</t>
  </si>
  <si>
    <t>Đăng ký sự kiện đã đóng</t>
  </si>
  <si>
    <t>Kiểm tra chặn đăng ký sự kiện CLOSED/CANCELLED.</t>
  </si>
  <si>
    <t>Sự kiện CLOSED hoặc CANCELLED.</t>
  </si>
  <si>
    <t xml:space="preserve">1. Mở sự kiện đã đóng
2. Thử đăng ký</t>
  </si>
  <si>
    <t>TD-REG-004</t>
  </si>
  <si>
    <t>DE190535 → EV005 (CLOSED)</t>
  </si>
  <si>
    <t>Không cho đăng ký; báo đã đóng.</t>
  </si>
  <si>
    <t>REG-005</t>
  </si>
  <si>
    <t>Hủy đăng ký</t>
  </si>
  <si>
    <t>Kiểm tra hủy đăng ký.</t>
  </si>
  <si>
    <t>Sinh viên đang REGISTERED.</t>
  </si>
  <si>
    <t xml:space="preserve">1. Mở sự kiện đã đăng ký
2. Bấm Hủy đăng ký</t>
  </si>
  <si>
    <t>TD-REG-005</t>
  </si>
  <si>
    <t>DE190533 hủy EV001</t>
  </si>
  <si>
    <t>Trạng thái CANCELLED; chỗ trống được giải phóng.</t>
  </si>
  <si>
    <t>REG-006</t>
  </si>
  <si>
    <t>Tự động đẩy waitlist khi có chỗ</t>
  </si>
  <si>
    <t>Kiểm tra promote waitlist.</t>
  </si>
  <si>
    <t>Có người WAITLIST và 1 chỗ vừa trống.</t>
  </si>
  <si>
    <t xml:space="preserve">1. Một người REGISTERED hủy
2. Hệ thống xử lý hàng chờ</t>
  </si>
  <si>
    <t>TD-REG-006</t>
  </si>
  <si>
    <t>DE190534 waitlist EV004</t>
  </si>
  <si>
    <t>Người đầu hàng chờ được chuyển REGISTERED + thông báo.</t>
  </si>
  <si>
    <t>REG-007</t>
  </si>
  <si>
    <t>Xem sự kiện đã đăng ký</t>
  </si>
  <si>
    <t>Kiểm tra lịch sử đăng ký của sinh viên.</t>
  </si>
  <si>
    <t>Sinh viên có nhiều đăng ký.</t>
  </si>
  <si>
    <t>1. Mở "Sự kiện của tôi"</t>
  </si>
  <si>
    <t>TD-REG-007</t>
  </si>
  <si>
    <t>DE190533 nhiều sự kiện</t>
  </si>
  <si>
    <t>Liệt kê đúng các sự kiện đã đăng ký kèm trạng thái.</t>
  </si>
  <si>
    <t>RBL-001</t>
  </si>
  <si>
    <t>Điểm ưu tiên khi đúng ngành</t>
  </si>
  <si>
    <t>Kiểm tra cộng điểm ưu tiên ngành khớp.</t>
  </si>
  <si>
    <t>Sinh viên cùng ngành với sự kiện.</t>
  </si>
  <si>
    <t>1. Tính RBL cho SV đúng ngành</t>
  </si>
  <si>
    <t>TD-RBL-001</t>
  </si>
  <si>
    <t>DE190533 (SE) → EV001 (SE)</t>
  </si>
  <si>
    <t>Đạt điểm ngành cao nhất (exact match).</t>
  </si>
  <si>
    <t>RBL-002</t>
  </si>
  <si>
    <t>Điểm ưu tiên ngành liên quan</t>
  </si>
  <si>
    <t>Kiểm tra điểm ngành liên quan thấp hơn exact.</t>
  </si>
  <si>
    <t>Sinh viên ngành liên quan.</t>
  </si>
  <si>
    <t>1. Tính RBL cho SV ngành liên quan</t>
  </si>
  <si>
    <t>TD-RBL-002</t>
  </si>
  <si>
    <t>DE190535 (AI) → EV001 (SE)</t>
  </si>
  <si>
    <t>Điểm ngành ở mức "related", thấp hơn exact.</t>
  </si>
  <si>
    <t>RBL-003</t>
  </si>
  <si>
    <t>Điểm ưu tiên ngành khác</t>
  </si>
  <si>
    <t>Kiểm tra ngành khác điểm thấp nhất.</t>
  </si>
  <si>
    <t>Sinh viên ngành khác hẳn.</t>
  </si>
  <si>
    <t>1. Tính RBL cho SV ngành khác</t>
  </si>
  <si>
    <t>TD-RBL-003</t>
  </si>
  <si>
    <t>DE190536 (BA) → EV001 (SE)</t>
  </si>
  <si>
    <t>Điểm ngành thấp nhất (different major).</t>
  </si>
  <si>
    <t>RBL-004</t>
  </si>
  <si>
    <t>Ưu tiên kỳ cuối</t>
  </si>
  <si>
    <t>Kiểm tra SV kỳ cuối được cộng ưu tiên.</t>
  </si>
  <si>
    <t>Sinh viên kỳ 9.</t>
  </si>
  <si>
    <t>1. Tính RBL cho SV kỳ cuối</t>
  </si>
  <si>
    <t>DE190533 kỳ 9</t>
  </si>
  <si>
    <t>Được cộng ưu tiên kỳ cuối → tổng điểm cao.</t>
  </si>
  <si>
    <t>RBL-005</t>
  </si>
  <si>
    <t>Kỳ thấp ưu tiên thấp</t>
  </si>
  <si>
    <t>Kiểm tra SV kỳ thấp ít ưu tiên.</t>
  </si>
  <si>
    <t>Sinh viên kỳ 1-3.</t>
  </si>
  <si>
    <t>1. Tính RBL cho SV kỳ thấp</t>
  </si>
  <si>
    <t>TD-RBL-005</t>
  </si>
  <si>
    <t>DE190537 kỳ 3</t>
  </si>
  <si>
    <t>Ưu tiên kỳ thấp; tổng điểm thấp hơn kỳ cuối.</t>
  </si>
  <si>
    <t>RBL-006</t>
  </si>
  <si>
    <t>Chuẩn hóa điểm &gt; 100 &amp; xếp hạng</t>
  </si>
  <si>
    <t>Kiểm tra normalize điểm và thứ tự ưu tiên cuối.</t>
  </si>
  <si>
    <t>Có SV điểm &gt; 100 và nhiều SV cạnh tranh 1 suất.</t>
  </si>
  <si>
    <t xml:space="preserve">1. Tính RBL cho SV điểm 150
2. So xếp hạng nhiều SV</t>
  </si>
  <si>
    <t>TD-RBL-006</t>
  </si>
  <si>
    <t>DE190539 điểm 150 + bảng xếp hạng</t>
  </si>
  <si>
    <t>Điểm chuẩn hóa về thang hợp lệ; xếp hạng đúng ngành&gt;kỳ&gt;điểm.</t>
  </si>
  <si>
    <t>ATT-001</t>
  </si>
  <si>
    <t>Sinh mã QR động check-in</t>
  </si>
  <si>
    <t>Kiểm tra hiển thị QR động trên màn hình khoa.</t>
  </si>
  <si>
    <t>Sự kiện ACTIVE; khoa mở màn hình điểm danh.</t>
  </si>
  <si>
    <t xml:space="preserve">1. Mở AEMS Toolkit của sự kiện
2. Xem QR CHECK-IN</t>
  </si>
  <si>
    <t>TD-ATT-001</t>
  </si>
  <si>
    <t>EV001 QR_ACTIVE_001</t>
  </si>
  <si>
    <t>Hiển thị QR động kèm đếm ngược; trỏ tới Google Form check-in.</t>
  </si>
  <si>
    <t>ATT-002</t>
  </si>
  <si>
    <t>QR hết hạn sau 30 giây</t>
  </si>
  <si>
    <t>Kiểm tra token QR TTL = 30 giây.</t>
  </si>
  <si>
    <t>QR đã sinh quá 30 giây.</t>
  </si>
  <si>
    <t xml:space="preserve">1. Lấy QR
2. Đợi &gt; 30 giây
3. Dùng token cũ check-in</t>
  </si>
  <si>
    <t>TD-ATT-002</t>
  </si>
  <si>
    <t>EV001 QR_EXPIRED_001 (TTL 30s)</t>
  </si>
  <si>
    <t>Token cũ bị từ chối; báo QR đã hết hạn (xoay mỗi 30 giây).</t>
  </si>
  <si>
    <t>ATT-003</t>
  </si>
  <si>
    <t>QR tự làm mới mỗi 30 giây</t>
  </si>
  <si>
    <t>Kiểm tra token đổi nội dung theo chu kỳ 30 giây.</t>
  </si>
  <si>
    <t>Màn hình QR đang mở.</t>
  </si>
  <si>
    <t>1. Quan sát QR qua 2 chu kỳ 30 giây</t>
  </si>
  <si>
    <t>TD-ATT-003</t>
  </si>
  <si>
    <t>EV001 QR_ACTIVE_002 (chu kỳ mới)</t>
  </si>
  <si>
    <t>Token/nội dung QR thay đổi mỗi 30 giây; ảnh chụp cũ vô dụng.</t>
  </si>
  <si>
    <t>ATT-004</t>
  </si>
  <si>
    <t>Check-in hợp lệ qua Google Form</t>
  </si>
  <si>
    <t>Kiểm tra check-in qua Form + đối chiếu email.</t>
  </si>
  <si>
    <t>SV đã đăng ký; quét QR còn hiệu lực.</t>
  </si>
  <si>
    <t xml:space="preserve">1. Quét QR
2. Mở Google Form check-in
3. Điền họ tên + MSSV, submit</t>
  </si>
  <si>
    <t>TD-ATT-004</t>
  </si>
  <si>
    <t>DE190533 submit Form bằng email hệ thống</t>
  </si>
  <si>
    <t>Email Form trùng email hệ thống → trạng thái CHECKED_IN.</t>
  </si>
  <si>
    <t>Week 7</t>
  </si>
  <si>
    <t>ATT-005</t>
  </si>
  <si>
    <t>Token QR không hợp lệ</t>
  </si>
  <si>
    <t>Kiểm tra từ chối token giả mạo.</t>
  </si>
  <si>
    <t>Token không tồn tại.</t>
  </si>
  <si>
    <t>1. Dùng token giả để check-in</t>
  </si>
  <si>
    <t>TD-ATT-005</t>
  </si>
  <si>
    <t>EV001 FAKE999</t>
  </si>
  <si>
    <t>Từ chối token không hợp lệ; không ghi điểm danh.</t>
  </si>
  <si>
    <t>ATT-006</t>
  </si>
  <si>
    <t>Chống check-in trùng</t>
  </si>
  <si>
    <t>Kiểm tra không check-in 2 lần.</t>
  </si>
  <si>
    <t>SV đã CHECKED_IN.</t>
  </si>
  <si>
    <t>1. SV đã check-in submit Form lần 2</t>
  </si>
  <si>
    <t>TD-ATT-006</t>
  </si>
  <si>
    <t>DE190533 đã CHECKED_IN</t>
  </si>
  <si>
    <t>Không tạo bản ghi trùng; giữ nguyên CHECKED_IN.</t>
  </si>
  <si>
    <t>ATT-007</t>
  </si>
  <si>
    <t>Đánh vắng SV đã đăng ký không check-in</t>
  </si>
  <si>
    <t>Kiểm tra logic ABSENT.</t>
  </si>
  <si>
    <t>SV REGISTERED nhưng không submit Form sau khi sự kiện bắt đầu.</t>
  </si>
  <si>
    <t xml:space="preserve">1. Đồng bộ Form sau giờ bắt đầu
2. Xét SV không check-in</t>
  </si>
  <si>
    <t>TD-ATT-007</t>
  </si>
  <si>
    <t>DE190540 REGISTERED, không check-in</t>
  </si>
  <si>
    <t>SV không khớp email/không submit → đánh ABSENT (vắng).</t>
  </si>
  <si>
    <t>ATT-008</t>
  </si>
  <si>
    <t>Đồng bộ phản hồi Google Form</t>
  </si>
  <si>
    <t>Kiểm tra kéo response từ Form về DB (idempotent).</t>
  </si>
  <si>
    <t>Form check-in có phản hồi; có token Google.</t>
  </si>
  <si>
    <t xml:space="preserve">1. Bấm Đồng bộ Form
2. Chạy lại lần 2</t>
  </si>
  <si>
    <t>TD-DASH-001</t>
  </si>
  <si>
    <t>Form responses EV001</t>
  </si>
  <si>
    <t>Tạo/cập nhật điểm danh đúng theo email; chạy lại không nhân đôi.</t>
  </si>
  <si>
    <t>Week 8</t>
  </si>
  <si>
    <t>ATT-009</t>
  </si>
  <si>
    <t>Tự đóng sự kiện sau 15 phút</t>
  </si>
  <si>
    <t>Kiểm tra auto-close + đánh vắng sau khi kết thúc.</t>
  </si>
  <si>
    <t>Sự kiện đã kết thúc &gt; 15 phút; scheduler bật.</t>
  </si>
  <si>
    <t xml:space="preserve">1. Để sự kiện kết thúc quá 15 phút
2. Chờ scheduler chạy</t>
  </si>
  <si>
    <t>EV001 kết thúc + 15 phút</t>
  </si>
  <si>
    <t>SV chưa check-in bị đánh ABSENT; sự kiện chuyển COMPLETED tự động.</t>
  </si>
  <si>
    <t>QUIZ-001</t>
  </si>
  <si>
    <t>Khoa tạo câu hỏi quiz checkout</t>
  </si>
  <si>
    <t>Kiểm tra tạo ngân hàng câu hỏi.</t>
  </si>
  <si>
    <t xml:space="preserve">1. Trong đề xuất/sự kiện thêm câu hỏi quiz + đáp án đúng
2. Lưu</t>
  </si>
  <si>
    <t>TD-QUIZ-001</t>
  </si>
  <si>
    <t>EV001 câu hỏi A/B/C/D đáp án A</t>
  </si>
  <si>
    <t>Câu hỏi quiz lưu thành công, dùng cho Form checkout.</t>
  </si>
  <si>
    <t>QUIZ-002</t>
  </si>
  <si>
    <t>Quiz checkout ngẫu nhiên</t>
  </si>
  <si>
    <t>Kiểm tra chọn ngẫu nhiên N câu từ ngân hàng.</t>
  </si>
  <si>
    <t>Ngân hàng có ≥ 20 câu; giới hạn 5.</t>
  </si>
  <si>
    <t>1. Mở Form checkout</t>
  </si>
  <si>
    <t>TD-QUIZ-002</t>
  </si>
  <si>
    <t>20 câu → random 5</t>
  </si>
  <si>
    <t>Form checkout hiển thị 5 câu ngẫu nhiên.</t>
  </si>
  <si>
    <t>QUIZ-003</t>
  </si>
  <si>
    <t>Nộp quiz đúng</t>
  </si>
  <si>
    <t>Kiểm tra chấm điểm quiz.</t>
  </si>
  <si>
    <t>SV đã check-in, mở Form checkout.</t>
  </si>
  <si>
    <t xml:space="preserve">1. Trả lời đúng toàn bộ câu
2. Submit</t>
  </si>
  <si>
    <t>TD-QUIZ-003</t>
  </si>
  <si>
    <t>5 câu đều đúng</t>
  </si>
  <si>
    <t>Ghi nhận điểm quiz đầy đủ.</t>
  </si>
  <si>
    <t>QUIZ-004</t>
  </si>
  <si>
    <t>Nộp quiz thiếu đáp án bắt buộc</t>
  </si>
  <si>
    <t>Kiểm tra ràng buộc câu bắt buộc.</t>
  </si>
  <si>
    <t>Mở Form checkout.</t>
  </si>
  <si>
    <t xml:space="preserve">1. Bỏ trống 1 câu bắt buộc
2. Submit</t>
  </si>
  <si>
    <t>TD-QUIZ-004</t>
  </si>
  <si>
    <t>1 câu để trống</t>
  </si>
  <si>
    <t>Google Form chặn submit; báo câu bắt buộc.</t>
  </si>
  <si>
    <t>Week 9</t>
  </si>
  <si>
    <t>QUIZ-005</t>
  </si>
  <si>
    <t>Gửi feedback rating + bình luận</t>
  </si>
  <si>
    <t>Kiểm tra lưu phản hồi.</t>
  </si>
  <si>
    <t xml:space="preserve">1. Chọn rating 5
2. Nhập bình luận
3. Submit</t>
  </si>
  <si>
    <t>TD-FB-001</t>
  </si>
  <si>
    <t>rating 5 + "Sự kiện hay"</t>
  </si>
  <si>
    <t>Lưu feedback (rating + comment) cho sự kiện.</t>
  </si>
  <si>
    <t>QUIZ-006</t>
  </si>
  <si>
    <t>Chống feedback trùng</t>
  </si>
  <si>
    <t>Kiểm tra 1 SV không gửi feedback trùng.</t>
  </si>
  <si>
    <t>SV đã gửi feedback.</t>
  </si>
  <si>
    <t>1. SV gửi feedback lần 2</t>
  </si>
  <si>
    <t>TD-FB-002</t>
  </si>
  <si>
    <t>DE190533 submit lần 2</t>
  </si>
  <si>
    <t>Chặn trùng hoặc cập nhật bản ghi cũ (không nhân đôi).</t>
  </si>
  <si>
    <t>QUIZ-007</t>
  </si>
  <si>
    <t>Hoàn tất checkout → COMPLETED</t>
  </si>
  <si>
    <t>Kiểm tra hoàn tất sau quiz + feedback.</t>
  </si>
  <si>
    <t>SV đã CHECKED_IN, hoàn thành Form checkout.</t>
  </si>
  <si>
    <t>1. SV submit Form checkout (quiz + feedback)</t>
  </si>
  <si>
    <t>TD-CHECKOUT-001</t>
  </si>
  <si>
    <t>DE190533 checkout EV001</t>
  </si>
  <si>
    <t>SV đã check-in → trạng thái COMPLETED; SV chưa check-in vẫn ABSENT.</t>
  </si>
  <si>
    <t>DASH-001</t>
  </si>
  <si>
    <t>Email xác nhận đăng ký</t>
  </si>
  <si>
    <t>Kiểm tra gửi/log email khi đăng ký.</t>
  </si>
  <si>
    <t>SMTP cấu hình; SV đăng ký sự kiện.</t>
  </si>
  <si>
    <t xml:space="preserve">1. SV đăng ký
2. Kiểm tra log email</t>
  </si>
  <si>
    <t>TD-MAIL-001</t>
  </si>
  <si>
    <t>DE190533 đăng ký EV001</t>
  </si>
  <si>
    <t>Tạo log email; sentStatus SUCCESS/PENDING theo trạng thái SMTP.</t>
  </si>
  <si>
    <t>Week 10</t>
  </si>
  <si>
    <t>DASH-002</t>
  </si>
  <si>
    <t>Trưởng khoa xem thống kê điểm danh</t>
  </si>
  <si>
    <t>Kiểm tra dashboard số liệu khớp.</t>
  </si>
  <si>
    <t>Sự kiện có dữ liệu điểm danh; vai trò HEAD.</t>
  </si>
  <si>
    <t>1. Mở dashboard điểm danh sự kiện</t>
  </si>
  <si>
    <t>EV001 Reg 50/CheckIn 40/Done 35/Absent 10</t>
  </si>
  <si>
    <t>Thẻ số liệu và tỷ lệ hiển thị đúng; số đăng ký khớp giữa Toolkit và Dashboard.</t>
  </si>
  <si>
    <t>DASH-003</t>
  </si>
  <si>
    <t>Xem thống kê feedback</t>
  </si>
  <si>
    <t>Kiểm tra tổng hợp feedback.</t>
  </si>
  <si>
    <t>Có feedback của sự kiện.</t>
  </si>
  <si>
    <t>1. Mở mục thống kê feedback</t>
  </si>
  <si>
    <t>TD-DASH-002</t>
  </si>
  <si>
    <t>ratings 5,4,4,3,5 + comments</t>
  </si>
  <si>
    <t>Tính đúng điểm trung bình; liệt kê bình luận.</t>
  </si>
  <si>
    <t>DASH-004</t>
  </si>
  <si>
    <t>Xuất báo cáo sự kiện</t>
  </si>
  <si>
    <t>Kiểm tra xuất báo cáo.</t>
  </si>
  <si>
    <t>Sự kiện có dữ liệu đầy đủ.</t>
  </si>
  <si>
    <t>1. Bấm Xuất báo cáo</t>
  </si>
  <si>
    <t>TD-REPORT-001</t>
  </si>
  <si>
    <t>EV001 export</t>
  </si>
  <si>
    <t>Tải về báo cáo (Excel/PDF) đúng dữ liệu đăng ký/điểm danh/feedback.</t>
  </si>
  <si>
    <t>DASH-005</t>
  </si>
  <si>
    <t>Đồng bộ số đăng ký nhất quán</t>
  </si>
  <si>
    <t>Kiểm tra số đăng ký Toolkit khớp Dashboard.</t>
  </si>
  <si>
    <t>Có cả REGISTERED và WAITLIST cho sự kiện.</t>
  </si>
  <si>
    <t>1. So số đăng ký ở AEMS Toolkit và Dashboard</t>
  </si>
  <si>
    <t>EV001 chỉ đếm REGISTERED</t>
  </si>
  <si>
    <t>Cả hai chỉ đếm REGISTERED (bỏ waitlist/cancelled) → số liệu khớp.</t>
  </si>
  <si>
    <t>SEC-001</t>
  </si>
  <si>
    <t>Truy cập trang nội bộ khi chưa đăng nhập</t>
  </si>
  <si>
    <t>Kiểm tra chặn truy cập ẩn danh.</t>
  </si>
  <si>
    <t>Chưa đăng nhập.</t>
  </si>
  <si>
    <t>1. Mở thẳng URL nội bộ</t>
  </si>
  <si>
    <t>TD-SEC-001</t>
  </si>
  <si>
    <t>/student/events (ẩn danh)</t>
  </si>
  <si>
    <t>Chuyển về trang đăng nhập / từ chối truy cập.</t>
  </si>
  <si>
    <t>SEC-002</t>
  </si>
  <si>
    <t>Phân quyền sai vai trò</t>
  </si>
  <si>
    <t>Kiểm tra RBAC: vai trò thấp không vào trang cao.</t>
  </si>
  <si>
    <t>Đăng nhập sai vai trò.</t>
  </si>
  <si>
    <t xml:space="preserve">1. SV mở trang khoa
2. Khoa mở trang admin</t>
  </si>
  <si>
    <t>TD-SEC-003</t>
  </si>
  <si>
    <t>student→/department; department→/admin</t>
  </si>
  <si>
    <t>Bị từ chối quyền (403); không truy cập.</t>
  </si>
  <si>
    <t>SEC-003</t>
  </si>
  <si>
    <t>Chống SQL Injection &amp; XSS</t>
  </si>
  <si>
    <t>Kiểm tra làm sạch input nguy hiểm.</t>
  </si>
  <si>
    <t>Form đăng nhập / feedback mở.</t>
  </si>
  <si>
    <t xml:space="preserve">1. Nhập ' OR '1'='1 ở login
2. Nhập &lt;script&gt; ở bình luận</t>
  </si>
  <si>
    <t>TD-SEC-004</t>
  </si>
  <si>
    <t>injection + XSS payload</t>
  </si>
  <si>
    <t>Đăng nhập bị từ chối, không lỗi SQL; nội dung XSS bị escape/sanitize.</t>
  </si>
  <si>
    <t>SEC-004</t>
  </si>
  <si>
    <t>Ràng buộc mật khẩu &amp; header bảo mật</t>
  </si>
  <si>
    <t>Kiểm tra chính sách mật khẩu và security headers.</t>
  </si>
  <si>
    <t>Form đăng ký mở.</t>
  </si>
  <si>
    <t xml:space="preserve">1. Đăng ký mật khẩu &lt; 8 ký tự
2. Kiểm tra response header</t>
  </si>
  <si>
    <t>TD-AUTH-009</t>
  </si>
  <si>
    <t>newweak@fpt.edu.vn / "1234"</t>
  </si>
  <si>
    <t>Mật khẩu &lt; 8 ký tự bị từ chối; có X-Frame-Options=DENY, Referrer-Policy.</t>
  </si>
  <si>
    <t>Data ID</t>
  </si>
  <si>
    <t>Role</t>
  </si>
  <si>
    <t>Email</t>
  </si>
  <si>
    <t>Password</t>
  </si>
  <si>
    <t>Account Status</t>
  </si>
  <si>
    <t>Expected Usage</t>
  </si>
  <si>
    <t>ADMIN</t>
  </si>
  <si>
    <t>admin@aems.com</t>
  </si>
  <si>
    <t>Admin123@</t>
  </si>
  <si>
    <t>ACTIVE</t>
  </si>
  <si>
    <t>Đăng nhập Admin, quản trị hệ thống</t>
  </si>
  <si>
    <t>DEPARTMENT (HEAD)</t>
  </si>
  <si>
    <t>department@aems.com</t>
  </si>
  <si>
    <t>Dept123@</t>
  </si>
  <si>
    <t>Tạo đề xuất, quản lý quiz, xem dashboard khoa</t>
  </si>
  <si>
    <t>TD-AUTH-003</t>
  </si>
  <si>
    <t>COMMITTEE</t>
  </si>
  <si>
    <t>committee@aems.com</t>
  </si>
  <si>
    <t>Com123@</t>
  </si>
  <si>
    <t>Duyệt/từ chối/yêu cầu chỉnh sửa đề xuất</t>
  </si>
  <si>
    <t>STUDENT</t>
  </si>
  <si>
    <t>student1@fpt.edu.vn</t>
  </si>
  <si>
    <t>Stu123@</t>
  </si>
  <si>
    <t>Xem sự kiện, đăng ký, check-in, checkout</t>
  </si>
  <si>
    <t>student2@fpt.edu.vn</t>
  </si>
  <si>
    <t>DISABLED</t>
  </si>
  <si>
    <t>Kiểm tra tài khoản bị vô hiệu không đăng nhập</t>
  </si>
  <si>
    <t>wrong123</t>
  </si>
  <si>
    <t>Kiểm tra mật khẩu sai</t>
  </si>
  <si>
    <t>UNKNOWN</t>
  </si>
  <si>
    <t>unknown@fpt.edu.vn</t>
  </si>
  <si>
    <t>NOT_EXIST</t>
  </si>
  <si>
    <t>Kiểm tra tài khoản không tồn tại</t>
  </si>
  <si>
    <t>DEPARTMENT (HEAD/Google)</t>
  </si>
  <si>
    <t>hovanthongdat90@gmail.com</t>
  </si>
  <si>
    <t>(OAuth Google)</t>
  </si>
  <si>
    <t>Đăng nhập Google, có token tạo/đồng bộ Google Form</t>
  </si>
  <si>
    <t>STUDENT (đăng ký)</t>
  </si>
  <si>
    <t>newweak@fpt.edu.vn</t>
  </si>
  <si>
    <t>1234</t>
  </si>
  <si>
    <t>NEW</t>
  </si>
  <si>
    <t>Mật khẩu &lt; 8 ký tự → phải bị từ chối</t>
  </si>
  <si>
    <t>STUDENT (brute-force)</t>
  </si>
  <si>
    <t>5 lần mật khẩu sai</t>
  </si>
  <si>
    <t>Sau 5 lần sai bị khóa 15 phút</t>
  </si>
  <si>
    <t>STUDENT (đăng ký OTP)</t>
  </si>
  <si>
    <t>newstudent@fpt.edu.vn</t>
  </si>
  <si>
    <t>NewPass123@</t>
  </si>
  <si>
    <t>Đăng ký + xác thực OTP qua email</t>
  </si>
  <si>
    <t>Student Code</t>
  </si>
  <si>
    <t>Full Name</t>
  </si>
  <si>
    <t>Major</t>
  </si>
  <si>
    <t>Semester</t>
  </si>
  <si>
    <t>Total Points</t>
  </si>
  <si>
    <t>No-show Count</t>
  </si>
  <si>
    <t>Expected Priority Type</t>
  </si>
  <si>
    <t>TD-STU-001</t>
  </si>
  <si>
    <t>DE190533</t>
  </si>
  <si>
    <t>Ho Van Thong Dat</t>
  </si>
  <si>
    <t>Software Engineering</t>
  </si>
  <si>
    <t>9</t>
  </si>
  <si>
    <t>95</t>
  </si>
  <si>
    <t>0</t>
  </si>
  <si>
    <t>Ưu tiên rất cao (đúng ngành + kỳ cuối)</t>
  </si>
  <si>
    <t>TD-STU-002</t>
  </si>
  <si>
    <t>DE190534</t>
  </si>
  <si>
    <t>Nguyen Van A</t>
  </si>
  <si>
    <t>8</t>
  </si>
  <si>
    <t>80</t>
  </si>
  <si>
    <t>1</t>
  </si>
  <si>
    <t>Ưu tiên cao</t>
  </si>
  <si>
    <t>TD-STU-003</t>
  </si>
  <si>
    <t>DE190535</t>
  </si>
  <si>
    <t>Tran Thi B</t>
  </si>
  <si>
    <t>student3@fpt.edu.vn</t>
  </si>
  <si>
    <t>Artificial Intelligence</t>
  </si>
  <si>
    <t>7</t>
  </si>
  <si>
    <t>75</t>
  </si>
  <si>
    <t>Ngành liên quan</t>
  </si>
  <si>
    <t>TD-STU-004</t>
  </si>
  <si>
    <t>DE190536</t>
  </si>
  <si>
    <t>Le Van C</t>
  </si>
  <si>
    <t>student4@fpt.edu.vn</t>
  </si>
  <si>
    <t>Business Administration</t>
  </si>
  <si>
    <t>90</t>
  </si>
  <si>
    <t>2</t>
  </si>
  <si>
    <t>Kỳ cao nhưng ngành khác</t>
  </si>
  <si>
    <t>TD-STU-005</t>
  </si>
  <si>
    <t>DE190537</t>
  </si>
  <si>
    <t>Pham Thi D</t>
  </si>
  <si>
    <t>student5@fpt.edu.vn</t>
  </si>
  <si>
    <t>3</t>
  </si>
  <si>
    <t>40</t>
  </si>
  <si>
    <t>Kỳ thấp / điểm thấp</t>
  </si>
  <si>
    <t>TD-STU-006</t>
  </si>
  <si>
    <t>DE190538</t>
  </si>
  <si>
    <t>Vo Van E</t>
  </si>
  <si>
    <t>student6@fpt.edu.vn</t>
  </si>
  <si>
    <t>20</t>
  </si>
  <si>
    <t>Ưu tiên thấp / nguy cơ no-show</t>
  </si>
  <si>
    <t>TD-STU-007</t>
  </si>
  <si>
    <t>DE190539</t>
  </si>
  <si>
    <t>Do Thi F</t>
  </si>
  <si>
    <t>student7@fpt.edu.vn</t>
  </si>
  <si>
    <t>Information Technology</t>
  </si>
  <si>
    <t>6</t>
  </si>
  <si>
    <t>150</t>
  </si>
  <si>
    <t>Kiểm tra chuẩn hóa điểm &gt; 100</t>
  </si>
  <si>
    <t>TD-STU-008</t>
  </si>
  <si>
    <t>DE190540</t>
  </si>
  <si>
    <t>Bui Van G</t>
  </si>
  <si>
    <t>student8@fpt.edu.vn</t>
  </si>
  <si>
    <t>5</t>
  </si>
  <si>
    <t>60</t>
  </si>
  <si>
    <t>SV đăng ký nhưng không check-in (đánh vắng)</t>
  </si>
  <si>
    <t>Department ID</t>
  </si>
  <si>
    <t>Department Name</t>
  </si>
  <si>
    <t>Event ID</t>
  </si>
  <si>
    <t>Event Title</t>
  </si>
  <si>
    <t>Event Type</t>
  </si>
  <si>
    <t>Capacity</t>
  </si>
  <si>
    <t>Registered</t>
  </si>
  <si>
    <t>Start Time</t>
  </si>
  <si>
    <t>End Time</t>
  </si>
  <si>
    <t>Location</t>
  </si>
  <si>
    <t>DEP-SE</t>
  </si>
  <si>
    <t>AI Workshop 2026</t>
  </si>
  <si>
    <t>Workshop</t>
  </si>
  <si>
    <t>50</t>
  </si>
  <si>
    <t>30</t>
  </si>
  <si>
    <t>2026-06-15 09:00</t>
  </si>
  <si>
    <t>2026-06-15 11:00</t>
  </si>
  <si>
    <t>Room 301</t>
  </si>
  <si>
    <t>DEP-IT</t>
  </si>
  <si>
    <t>EV002</t>
  </si>
  <si>
    <t>Cloud Computing Seminar</t>
  </si>
  <si>
    <t>Seminar</t>
  </si>
  <si>
    <t>100</t>
  </si>
  <si>
    <t>2026-06-20 14:00</t>
  </si>
  <si>
    <t>2026-06-20 16:00</t>
  </si>
  <si>
    <t>Hall A</t>
  </si>
  <si>
    <t>DEP-BA</t>
  </si>
  <si>
    <t>EV003</t>
  </si>
  <si>
    <t>Startup Innovation Talk</t>
  </si>
  <si>
    <t>Talk</t>
  </si>
  <si>
    <t>CANCELLED</t>
  </si>
  <si>
    <t>2026-06-22 09:00</t>
  </si>
  <si>
    <t>2026-06-22 11:00</t>
  </si>
  <si>
    <t>Room 205</t>
  </si>
  <si>
    <t>TD-EVT-004</t>
  </si>
  <si>
    <t>EV004</t>
  </si>
  <si>
    <t>Software Testing Workshop</t>
  </si>
  <si>
    <t>2026-06-18 10:00</t>
  </si>
  <si>
    <t>2026-06-18 12:00</t>
  </si>
  <si>
    <t>Room 401</t>
  </si>
  <si>
    <t>TD-EVT-005</t>
  </si>
  <si>
    <t>DEP-AI</t>
  </si>
  <si>
    <t>EV005</t>
  </si>
  <si>
    <t>Generative AI Talk</t>
  </si>
  <si>
    <t>10</t>
  </si>
  <si>
    <t>CLOSED</t>
  </si>
  <si>
    <t>2026-05-30 08:00</t>
  </si>
  <si>
    <t>2026-05-30 10:00</t>
  </si>
  <si>
    <t>Room 501</t>
  </si>
  <si>
    <t>TD-EVT-006</t>
  </si>
  <si>
    <t>EV006</t>
  </si>
  <si>
    <t>System Architecture Seminar</t>
  </si>
  <si>
    <t>70</t>
  </si>
  <si>
    <t>35</t>
  </si>
  <si>
    <t>DRAFT</t>
  </si>
  <si>
    <t>2026-07-01 13:30</t>
  </si>
  <si>
    <t>2026-07-01 15:30</t>
  </si>
  <si>
    <t>Room 302</t>
  </si>
  <si>
    <t>Proposal ID</t>
  </si>
  <si>
    <t>Title</t>
  </si>
  <si>
    <t>Department</t>
  </si>
  <si>
    <t>Submitted By</t>
  </si>
  <si>
    <t>Committee Action</t>
  </si>
  <si>
    <t>P001</t>
  </si>
  <si>
    <t>AI Workshop</t>
  </si>
  <si>
    <t>PENDING</t>
  </si>
  <si>
    <t>Gửi đề xuất hợp lệ → Duyệt</t>
  </si>
  <si>
    <t>Lưu PENDING → APPROVED</t>
  </si>
  <si>
    <t>P002</t>
  </si>
  <si>
    <t>(rỗng)</t>
  </si>
  <si>
    <t>Gửi thiếu tiêu đề</t>
  </si>
  <si>
    <t>Lỗi xác thực</t>
  </si>
  <si>
    <t>P003</t>
  </si>
  <si>
    <t>Old Event</t>
  </si>
  <si>
    <t>Gửi ngày quá khứ</t>
  </si>
  <si>
    <t>P004</t>
  </si>
  <si>
    <t>Invalid Capacity Event</t>
  </si>
  <si>
    <t>Gửi sức chứa -10</t>
  </si>
  <si>
    <t>P005</t>
  </si>
  <si>
    <t>Cloud Seminar</t>
  </si>
  <si>
    <t>REVISION_REQUIRED</t>
  </si>
  <si>
    <t>Yêu cầu chỉnh sửa → nộp lại</t>
  </si>
  <si>
    <t>REVISION_REQUIRED → PENDING</t>
  </si>
  <si>
    <t>P006</t>
  </si>
  <si>
    <t>Architecture Seminar</t>
  </si>
  <si>
    <t>Sửa đề xuất PENDING</t>
  </si>
  <si>
    <t>Cập nhật thành công</t>
  </si>
  <si>
    <t>P007</t>
  </si>
  <si>
    <t>Approved AI Talk</t>
  </si>
  <si>
    <t>APPROVED</t>
  </si>
  <si>
    <t>Thử sửa/duyệt lại</t>
  </si>
  <si>
    <t>Bị khóa / chỉ đọc</t>
  </si>
  <si>
    <t>P008</t>
  </si>
  <si>
    <t>Marketing Talk</t>
  </si>
  <si>
    <t>Từ chối kèm lý do</t>
  </si>
  <si>
    <t>PENDING → REJECTED</t>
  </si>
  <si>
    <t>Major Match</t>
  </si>
  <si>
    <t>Scenario</t>
  </si>
  <si>
    <t>Exact</t>
  </si>
  <si>
    <t>Đăng ký sớm</t>
  </si>
  <si>
    <t>REGISTERED, ưu tiên cao</t>
  </si>
  <si>
    <t>Đăng ký trùng</t>
  </si>
  <si>
    <t>Báo đã đăng ký</t>
  </si>
  <si>
    <t>Sự kiện đầy</t>
  </si>
  <si>
    <t>WAITLIST</t>
  </si>
  <si>
    <t>Related</t>
  </si>
  <si>
    <t>Sự kiện đã đóng</t>
  </si>
  <si>
    <t>Từ chối, đã đóng</t>
  </si>
  <si>
    <t>Hủy thành công</t>
  </si>
  <si>
    <t>Có chỗ trống</t>
  </si>
  <si>
    <t>Đẩy waitlist → REGISTERED</t>
  </si>
  <si>
    <t>Multiple</t>
  </si>
  <si>
    <t>Lịch sử</t>
  </si>
  <si>
    <t>Hiển thị sự kiện của tôi</t>
  </si>
  <si>
    <t>RBL đúng ngành + kỳ cuối</t>
  </si>
  <si>
    <t>Điểm ưu tiên cao nhất</t>
  </si>
  <si>
    <t>RBL ngành liên quan</t>
  </si>
  <si>
    <t>Điểm trung bình</t>
  </si>
  <si>
    <t>Different</t>
  </si>
  <si>
    <t>RBL ngành khác</t>
  </si>
  <si>
    <t>Điểm ngành thấp nhất</t>
  </si>
  <si>
    <t>RBL kỳ thấp</t>
  </si>
  <si>
    <t>Ưu tiên thấp</t>
  </si>
  <si>
    <t>RBL điểm &gt; 100</t>
  </si>
  <si>
    <t>Chuẩn hóa điểm + xếp hạng đúng</t>
  </si>
  <si>
    <t>QR Token</t>
  </si>
  <si>
    <t>Token Type</t>
  </si>
  <si>
    <t>Token Status</t>
  </si>
  <si>
    <t>Created At</t>
  </si>
  <si>
    <t>Expired At (TTL 30s)</t>
  </si>
  <si>
    <t>Attendance Before</t>
  </si>
  <si>
    <t>N/A</t>
  </si>
  <si>
    <t>QR_ACTIVE_001</t>
  </si>
  <si>
    <t>CHECK_IN</t>
  </si>
  <si>
    <t>2026-06-15 09:00:00</t>
  </si>
  <si>
    <t>2026-06-15 09:00:30</t>
  </si>
  <si>
    <t>Hiển thị QR động trên màn hình khoa</t>
  </si>
  <si>
    <t>QR_EXPIRED_001</t>
  </si>
  <si>
    <t>EXPIRED</t>
  </si>
  <si>
    <t>REGISTERED</t>
  </si>
  <si>
    <t>Từ chối QR hết hạn (&gt;30s)</t>
  </si>
  <si>
    <t>QR_ACTIVE_002</t>
  </si>
  <si>
    <t>2026-06-15 09:01:00</t>
  </si>
  <si>
    <t>QR làm mới sau 30 giây</t>
  </si>
  <si>
    <t>Email Form trùng → CHECKED_IN</t>
  </si>
  <si>
    <t>FAKE999</t>
  </si>
  <si>
    <t>INVALID</t>
  </si>
  <si>
    <t>Từ chối token giả</t>
  </si>
  <si>
    <t>CHECKED_IN</t>
  </si>
  <si>
    <t>Chặn check-in trùng</t>
  </si>
  <si>
    <t>N/A (không submit)</t>
  </si>
  <si>
    <t>Không check-in sau giờ bắt đầu → ABSENT</t>
  </si>
  <si>
    <t>Type</t>
  </si>
  <si>
    <t>Question / Data</t>
  </si>
  <si>
    <t>Options or Value</t>
  </si>
  <si>
    <t>Correct Answer</t>
  </si>
  <si>
    <t>Student Response</t>
  </si>
  <si>
    <t>Multiple Choice</t>
  </si>
  <si>
    <t>Chủ đề chính của sự kiện là gì?</t>
  </si>
  <si>
    <t>A. AI  B. Marketing  C. Finance  D. HR</t>
  </si>
  <si>
    <t>A</t>
  </si>
  <si>
    <t>Lưu câu hỏi / đáp án đúng</t>
  </si>
  <si>
    <t>Question Pool</t>
  </si>
  <si>
    <t>Ngân hàng 20 câu, random 5</t>
  </si>
  <si>
    <t>Limit = 5</t>
  </si>
  <si>
    <t>Form checkout hiện 5 câu ngẫu nhiên</t>
  </si>
  <si>
    <t>Multiple Choice Set</t>
  </si>
  <si>
    <t>5 câu được chọn</t>
  </si>
  <si>
    <t>Trả lời đúng hết</t>
  </si>
  <si>
    <t>All correct</t>
  </si>
  <si>
    <t>Điểm quiz tối đa</t>
  </si>
  <si>
    <t>Required Answer</t>
  </si>
  <si>
    <t>Blank</t>
  </si>
  <si>
    <t>Form chặn submit (câu bắt buộc)</t>
  </si>
  <si>
    <t>Rating + Comment</t>
  </si>
  <si>
    <t>Đánh giá tổng thể + bình luận</t>
  </si>
  <si>
    <t>Rating 5; "Sự kiện hay"</t>
  </si>
  <si>
    <t>Rating 5</t>
  </si>
  <si>
    <t>Lưu feedback</t>
  </si>
  <si>
    <t>Duplicate Feedback</t>
  </si>
  <si>
    <t>Cùng SV gửi 2 lần</t>
  </si>
  <si>
    <t>Cùng event/student</t>
  </si>
  <si>
    <t>Submit lần 2</t>
  </si>
  <si>
    <t>Chặn trùng hoặc cập nhật bản cũ</t>
  </si>
  <si>
    <t>Checkout</t>
  </si>
  <si>
    <t>Quiz + feedback hợp lệ</t>
  </si>
  <si>
    <t>Đã check-in trước đó</t>
  </si>
  <si>
    <t>Submit checkout</t>
  </si>
  <si>
    <t>Đã check-in → COMPLETED; chưa → ABSENT</t>
  </si>
  <si>
    <t>Metric / Email / Report</t>
  </si>
  <si>
    <t>Input Data</t>
  </si>
  <si>
    <t>Expected Output</t>
  </si>
  <si>
    <t>SV DE190533 đăng ký EV001</t>
  </si>
  <si>
    <t>Lưu email log; sentStatus SUCCESS/PENDING theo SMTP</t>
  </si>
  <si>
    <t>Dashboard điểm danh</t>
  </si>
  <si>
    <t>Registered 50; Checked-in 40; Completed 35; Absent 10</t>
  </si>
  <si>
    <t>Thẻ số liệu + tỷ lệ đúng; Toolkit &amp; Dashboard khớp (chỉ đếm REGISTERED)</t>
  </si>
  <si>
    <t>Thống kê feedback</t>
  </si>
  <si>
    <t>Ratings: 5,4,4,3,5; có bình luận</t>
  </si>
  <si>
    <t>Tính điểm trung bình; liệt kê bình luận</t>
  </si>
  <si>
    <t>Xuất báo cáo</t>
  </si>
  <si>
    <t>Dữ liệu đăng ký + điểm danh + feedback</t>
  </si>
  <si>
    <t>Tải báo cáo Excel/PDF đúng dữ liệu sự kiện</t>
  </si>
  <si>
    <t>Role / User</t>
  </si>
  <si>
    <t>URL or Input</t>
  </si>
  <si>
    <t>Anonymous</t>
  </si>
  <si>
    <t>/student/events</t>
  </si>
  <si>
    <t>Chuyển về đăng nhập</t>
  </si>
  <si>
    <t>Gọi action chỉ dành cho Hội đồng</t>
  </si>
  <si>
    <t>duyệt đề xuất</t>
  </si>
  <si>
    <t>403 từ chối quyền</t>
  </si>
  <si>
    <t>Sai vai trò truy cập trang cao hơn</t>
  </si>
  <si>
    <t>STUDENT / DEPARTMENT</t>
  </si>
  <si>
    <t>/department; /admin</t>
  </si>
  <si>
    <t>SQL Injection ở đăng nhập</t>
  </si>
  <si>
    <t>email: ' OR '1'='1</t>
  </si>
  <si>
    <t>Từ chối; không lỗi SQL</t>
  </si>
  <si>
    <t>TD-SEC-005</t>
  </si>
  <si>
    <t>XSS ở bình luận feedback</t>
  </si>
  <si>
    <t>&lt;script&gt;alert('x')&lt;/script&gt;</t>
  </si>
  <si>
    <t>Escape/sanitize input</t>
  </si>
  <si>
    <t>TD-SEC-006</t>
  </si>
  <si>
    <t>Hết phiên / brute-force</t>
  </si>
  <si>
    <t>Any</t>
  </si>
  <si>
    <t>5 lần sai → khóa 15'; submit khi hết phiên</t>
  </si>
  <si>
    <t>Khóa tạm thời / yêu cầu đăng nhập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</si>
</sst>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EA580C"/>
    </font>
    <font>
      <i/>
      <color rgb="FF808080"/>
      <sz val="9"/>
    </font>
    <font>
      <b/>
      <color rgb="FF0B5394"/>
      <sz val="12"/>
    </font>
    <font>
      <b/>
      <color rgb="FFFFFFFF"/>
      <sz val="11"/>
    </font>
    <font>
      <b/>
      <color rgb="FFFFFFFF"/>
    </font>
    <font>
      <sz val="10"/>
    </font>
    <font>
      <b/>
      <sz val="10"/>
    </font>
  </fonts>
  <fills count="9">
    <fill>
      <patternFill patternType="none"/>
    </fill>
    <fill>
      <patternFill patternType="gray125"/>
    </fill>
    <fill>
      <patternFill patternType="solid">
        <fgColor rgb="FF0B5394"/>
      </patternFill>
    </fill>
    <fill>
      <patternFill patternType="solid">
        <fgColor rgb="FF1F4E78"/>
      </patternFill>
    </fill>
    <fill>
      <patternFill patternType="solid">
        <fgColor rgb="FFEA580C"/>
      </patternFill>
    </fill>
    <fill>
      <patternFill patternType="solid">
        <fgColor rgb="FFFFCDD2"/>
      </patternFill>
    </fill>
    <fill>
      <patternFill patternType="solid">
        <fgColor rgb="FFFCF7F2"/>
      </patternFill>
    </fill>
    <fill>
      <patternFill patternType="solid">
        <fgColor rgb="FFFFF3CD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9" fillId="5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C31"/>
  <sheetFormatPr defaultRowHeight="15" outlineLevelRow="0" outlineLevelCol="0" x14ac:dyDescent="55"/>
  <cols>
    <col min="1" max="1" width="30" customWidth="1"/>
    <col min="2" max="2" width="16" customWidth="1"/>
    <col min="3" max="3" width="40" customWidth="1"/>
  </cols>
  <sheetData>
    <row r="1" ht="30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3">
        <f>COUNTA('Test Cases'!A2:A71)</f>
      </c>
      <c r="C3" s="4" t="s">
        <v>2</v>
      </c>
    </row>
    <row r="4" spans="1:3" x14ac:dyDescent="0.25">
      <c r="A4" s="2" t="s">
        <v>3</v>
      </c>
      <c r="B4" s="3">
        <v>69</v>
      </c>
      <c r="C4" s="4" t="s">
        <v>4</v>
      </c>
    </row>
    <row r="5" spans="1:3" x14ac:dyDescent="0.25">
      <c r="A5" s="2" t="s">
        <v>5</v>
      </c>
      <c r="B5" s="3">
        <f>COUNTIF('Test Cases'!J2:J71,"High")</f>
      </c>
      <c r="C5" s="4" t="s">
        <v>6</v>
      </c>
    </row>
    <row r="6" spans="1:3" x14ac:dyDescent="0.25">
      <c r="A6" s="2" t="s">
        <v>7</v>
      </c>
      <c r="B6" s="3">
        <f>COUNTIF('Test Cases'!J2:J71,"Medium")</f>
      </c>
      <c r="C6" s="4" t="s">
        <v>8</v>
      </c>
    </row>
    <row r="7" spans="1:3" x14ac:dyDescent="0.25">
      <c r="A7" s="2" t="s">
        <v>9</v>
      </c>
      <c r="B7" s="3">
        <f>COUNTIF('Test Cases'!J2:J71,"Low")</f>
      </c>
      <c r="C7" s="4" t="s">
        <v>8</v>
      </c>
    </row>
    <row r="8" spans="1:3" x14ac:dyDescent="0.25">
      <c r="A8" s="2" t="s">
        <v>10</v>
      </c>
      <c r="B8" s="3">
        <f>COUNTIF('Test Cases'!M2:M71,"Not Started")</f>
      </c>
      <c r="C8" s="4" t="s">
        <v>11</v>
      </c>
    </row>
    <row r="9" spans="1:3" x14ac:dyDescent="0.25">
      <c r="A9" s="2" t="s">
        <v>12</v>
      </c>
      <c r="B9" s="3">
        <f>COUNTIF('Test Cases'!M2:M71,"Passed")</f>
      </c>
      <c r="C9" s="4" t="s">
        <v>8</v>
      </c>
    </row>
    <row r="10" spans="1:3" x14ac:dyDescent="0.25">
      <c r="A10" s="2" t="s">
        <v>13</v>
      </c>
      <c r="B10" s="3">
        <f>COUNTIF('Test Cases'!M2:M71,"Failed")</f>
      </c>
      <c r="C10" s="4" t="s">
        <v>8</v>
      </c>
    </row>
    <row r="12" spans="1:1" x14ac:dyDescent="0.25">
      <c r="A12" s="5" t="s">
        <v>14</v>
      </c>
    </row>
    <row r="13" ht="24" customHeight="1" spans="1:2" x14ac:dyDescent="0.25">
      <c r="A13" s="6" t="s">
        <v>15</v>
      </c>
      <c r="B13" s="6" t="s">
        <v>16</v>
      </c>
    </row>
    <row r="14" spans="1:2" x14ac:dyDescent="0.25">
      <c r="A14" s="7" t="s">
        <v>17</v>
      </c>
      <c r="B14" s="8">
        <v>8</v>
      </c>
    </row>
    <row r="15" spans="1:2" x14ac:dyDescent="0.25">
      <c r="A15" s="7" t="s">
        <v>18</v>
      </c>
      <c r="B15" s="8">
        <v>5</v>
      </c>
    </row>
    <row r="16" spans="1:2" x14ac:dyDescent="0.25">
      <c r="A16" s="7" t="s">
        <v>19</v>
      </c>
      <c r="B16" s="8">
        <v>7</v>
      </c>
    </row>
    <row r="17" spans="1:2" x14ac:dyDescent="0.25">
      <c r="A17" s="7" t="s">
        <v>20</v>
      </c>
      <c r="B17" s="8">
        <v>6</v>
      </c>
    </row>
    <row r="18" spans="1:2" x14ac:dyDescent="0.25">
      <c r="A18" s="7" t="s">
        <v>21</v>
      </c>
      <c r="B18" s="8">
        <v>6</v>
      </c>
    </row>
    <row r="19" spans="1:2" x14ac:dyDescent="0.25">
      <c r="A19" s="7" t="s">
        <v>22</v>
      </c>
      <c r="B19" s="8">
        <v>7</v>
      </c>
    </row>
    <row r="20" spans="1:2" x14ac:dyDescent="0.25">
      <c r="A20" s="7" t="s">
        <v>23</v>
      </c>
      <c r="B20" s="8">
        <v>6</v>
      </c>
    </row>
    <row r="21" spans="1:2" x14ac:dyDescent="0.25">
      <c r="A21" s="7" t="s">
        <v>24</v>
      </c>
      <c r="B21" s="8">
        <v>9</v>
      </c>
    </row>
    <row r="22" spans="1:2" x14ac:dyDescent="0.25">
      <c r="A22" s="7" t="s">
        <v>25</v>
      </c>
      <c r="B22" s="8">
        <v>7</v>
      </c>
    </row>
    <row r="23" spans="1:2" x14ac:dyDescent="0.25">
      <c r="A23" s="7" t="s">
        <v>26</v>
      </c>
      <c r="B23" s="8">
        <v>5</v>
      </c>
    </row>
    <row r="24" spans="1:2" x14ac:dyDescent="0.25">
      <c r="A24" s="7" t="s">
        <v>27</v>
      </c>
      <c r="B24" s="8">
        <v>4</v>
      </c>
    </row>
    <row r="26" spans="1:1" x14ac:dyDescent="0.25">
      <c r="A26" s="5" t="s">
        <v>28</v>
      </c>
    </row>
    <row r="27" spans="1:2" x14ac:dyDescent="0.25">
      <c r="A27" s="9" t="s">
        <v>29</v>
      </c>
      <c r="B27" s="9" t="s">
        <v>16</v>
      </c>
    </row>
    <row r="28" spans="1:2" x14ac:dyDescent="0.25">
      <c r="A28" s="7" t="s">
        <v>30</v>
      </c>
      <c r="B28" s="8">
        <f>COUNTIF('Test Cases'!K2:K71,"DatHVT")</f>
      </c>
    </row>
    <row r="29" spans="1:2" x14ac:dyDescent="0.25">
      <c r="A29" s="7" t="s">
        <v>31</v>
      </c>
      <c r="B29" s="8">
        <f>COUNTIF('Test Cases'!K2:K71,"SangTM")</f>
      </c>
    </row>
    <row r="30" spans="1:2" x14ac:dyDescent="0.25">
      <c r="A30" s="7" t="s">
        <v>32</v>
      </c>
      <c r="B30" s="8">
        <f>COUNTIF('Test Cases'!K2:K71,"TuHNC")</f>
      </c>
    </row>
    <row r="31" spans="1:2" x14ac:dyDescent="0.25">
      <c r="A31" s="7" t="s">
        <v>33</v>
      </c>
      <c r="B31" s="8">
        <f>COUNTIF('Test Cases'!K2:K71,"AnhNVT")</f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O7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30" customWidth="1"/>
    <col min="4" max="4" width="34" customWidth="1"/>
    <col min="5" max="5" width="30" customWidth="1"/>
    <col min="6" max="6" width="40" customWidth="1"/>
    <col min="7" max="7" width="16" customWidth="1"/>
    <col min="8" max="8" width="32" customWidth="1"/>
    <col min="9" max="9" width="38" customWidth="1"/>
    <col min="10" max="10" width="10" customWidth="1"/>
    <col min="11" max="11" width="12" customWidth="1"/>
    <col min="13" max="13" width="13" customWidth="1"/>
    <col min="14" max="14" width="22" customWidth="1"/>
    <col min="15" max="15" width="18" customWidth="1"/>
  </cols>
  <sheetData>
    <row r="1" ht="24" customHeight="1" spans="1:15" x14ac:dyDescent="0.25">
      <c r="A1" s="10" t="s">
        <v>34</v>
      </c>
      <c r="B1" s="10" t="s">
        <v>15</v>
      </c>
      <c r="C1" s="10" t="s">
        <v>35</v>
      </c>
      <c r="D1" s="10" t="s">
        <v>36</v>
      </c>
      <c r="E1" s="10" t="s">
        <v>37</v>
      </c>
      <c r="F1" s="10" t="s">
        <v>38</v>
      </c>
      <c r="G1" s="10" t="s">
        <v>39</v>
      </c>
      <c r="H1" s="10" t="s">
        <v>40</v>
      </c>
      <c r="I1" s="10" t="s">
        <v>41</v>
      </c>
      <c r="J1" s="10" t="s">
        <v>42</v>
      </c>
      <c r="K1" s="10" t="s">
        <v>43</v>
      </c>
      <c r="L1" s="10" t="s">
        <v>44</v>
      </c>
      <c r="M1" s="10" t="s">
        <v>45</v>
      </c>
      <c r="N1" s="10" t="s">
        <v>46</v>
      </c>
      <c r="O1" s="10" t="s">
        <v>47</v>
      </c>
    </row>
    <row r="2" spans="1:15" x14ac:dyDescent="0.25">
      <c r="A2" s="11" t="s">
        <v>48</v>
      </c>
      <c r="B2" s="12" t="s">
        <v>17</v>
      </c>
      <c r="C2" s="12" t="s">
        <v>49</v>
      </c>
      <c r="D2" s="12" t="s">
        <v>50</v>
      </c>
      <c r="E2" s="12" t="s">
        <v>51</v>
      </c>
      <c r="F2" s="12" t="s">
        <v>52</v>
      </c>
      <c r="G2" s="12" t="s">
        <v>53</v>
      </c>
      <c r="H2" s="12" t="s">
        <v>54</v>
      </c>
      <c r="I2" s="12" t="s">
        <v>55</v>
      </c>
      <c r="J2" s="13" t="s">
        <v>56</v>
      </c>
      <c r="K2" s="12" t="s">
        <v>30</v>
      </c>
      <c r="L2" s="11" t="s">
        <v>57</v>
      </c>
      <c r="M2" s="12" t="s">
        <v>10</v>
      </c>
      <c r="N2" s="12" t="s">
        <v>8</v>
      </c>
      <c r="O2" s="12" t="s">
        <v>8</v>
      </c>
    </row>
    <row r="3" spans="1:15" x14ac:dyDescent="0.25">
      <c r="A3" s="14" t="s">
        <v>58</v>
      </c>
      <c r="B3" s="15" t="s">
        <v>17</v>
      </c>
      <c r="C3" s="15" t="s">
        <v>59</v>
      </c>
      <c r="D3" s="15" t="s">
        <v>60</v>
      </c>
      <c r="E3" s="15" t="s">
        <v>61</v>
      </c>
      <c r="F3" s="15" t="s">
        <v>62</v>
      </c>
      <c r="G3" s="15" t="s">
        <v>63</v>
      </c>
      <c r="H3" s="15" t="s">
        <v>64</v>
      </c>
      <c r="I3" s="15" t="s">
        <v>65</v>
      </c>
      <c r="J3" s="13" t="s">
        <v>56</v>
      </c>
      <c r="K3" s="15" t="s">
        <v>30</v>
      </c>
      <c r="L3" s="14" t="s">
        <v>57</v>
      </c>
      <c r="M3" s="15" t="s">
        <v>10</v>
      </c>
      <c r="N3" s="15" t="s">
        <v>8</v>
      </c>
      <c r="O3" s="15" t="s">
        <v>8</v>
      </c>
    </row>
    <row r="4" spans="1:15" x14ac:dyDescent="0.25">
      <c r="A4" s="11" t="s">
        <v>66</v>
      </c>
      <c r="B4" s="12" t="s">
        <v>17</v>
      </c>
      <c r="C4" s="12" t="s">
        <v>67</v>
      </c>
      <c r="D4" s="12" t="s">
        <v>68</v>
      </c>
      <c r="E4" s="12" t="s">
        <v>69</v>
      </c>
      <c r="F4" s="12" t="s">
        <v>70</v>
      </c>
      <c r="G4" s="12" t="s">
        <v>71</v>
      </c>
      <c r="H4" s="12" t="s">
        <v>72</v>
      </c>
      <c r="I4" s="12" t="s">
        <v>73</v>
      </c>
      <c r="J4" s="13" t="s">
        <v>56</v>
      </c>
      <c r="K4" s="12" t="s">
        <v>30</v>
      </c>
      <c r="L4" s="11" t="s">
        <v>57</v>
      </c>
      <c r="M4" s="12" t="s">
        <v>10</v>
      </c>
      <c r="N4" s="12" t="s">
        <v>8</v>
      </c>
      <c r="O4" s="12" t="s">
        <v>8</v>
      </c>
    </row>
    <row r="5" spans="1:15" x14ac:dyDescent="0.25">
      <c r="A5" s="14" t="s">
        <v>74</v>
      </c>
      <c r="B5" s="15" t="s">
        <v>17</v>
      </c>
      <c r="C5" s="15" t="s">
        <v>75</v>
      </c>
      <c r="D5" s="15" t="s">
        <v>76</v>
      </c>
      <c r="E5" s="15" t="s">
        <v>77</v>
      </c>
      <c r="F5" s="15" t="s">
        <v>78</v>
      </c>
      <c r="G5" s="15" t="s">
        <v>79</v>
      </c>
      <c r="H5" s="15" t="s">
        <v>80</v>
      </c>
      <c r="I5" s="15" t="s">
        <v>81</v>
      </c>
      <c r="J5" s="16" t="s">
        <v>82</v>
      </c>
      <c r="K5" s="15" t="s">
        <v>30</v>
      </c>
      <c r="L5" s="14" t="s">
        <v>57</v>
      </c>
      <c r="M5" s="15" t="s">
        <v>10</v>
      </c>
      <c r="N5" s="15" t="s">
        <v>8</v>
      </c>
      <c r="O5" s="15" t="s">
        <v>8</v>
      </c>
    </row>
    <row r="6" spans="1:15" x14ac:dyDescent="0.25">
      <c r="A6" s="11" t="s">
        <v>83</v>
      </c>
      <c r="B6" s="12" t="s">
        <v>17</v>
      </c>
      <c r="C6" s="12" t="s">
        <v>84</v>
      </c>
      <c r="D6" s="12" t="s">
        <v>85</v>
      </c>
      <c r="E6" s="12" t="s">
        <v>86</v>
      </c>
      <c r="F6" s="12" t="s">
        <v>87</v>
      </c>
      <c r="G6" s="12" t="s">
        <v>53</v>
      </c>
      <c r="H6" s="12" t="s">
        <v>88</v>
      </c>
      <c r="I6" s="12" t="s">
        <v>89</v>
      </c>
      <c r="J6" s="13" t="s">
        <v>56</v>
      </c>
      <c r="K6" s="12" t="s">
        <v>30</v>
      </c>
      <c r="L6" s="11" t="s">
        <v>57</v>
      </c>
      <c r="M6" s="12" t="s">
        <v>10</v>
      </c>
      <c r="N6" s="12" t="s">
        <v>8</v>
      </c>
      <c r="O6" s="12" t="s">
        <v>8</v>
      </c>
    </row>
    <row r="7" spans="1:15" x14ac:dyDescent="0.25">
      <c r="A7" s="14" t="s">
        <v>90</v>
      </c>
      <c r="B7" s="15" t="s">
        <v>17</v>
      </c>
      <c r="C7" s="15" t="s">
        <v>91</v>
      </c>
      <c r="D7" s="15" t="s">
        <v>92</v>
      </c>
      <c r="E7" s="15" t="s">
        <v>93</v>
      </c>
      <c r="F7" s="15" t="s">
        <v>94</v>
      </c>
      <c r="G7" s="15" t="s">
        <v>95</v>
      </c>
      <c r="H7" s="15" t="s">
        <v>96</v>
      </c>
      <c r="I7" s="15" t="s">
        <v>97</v>
      </c>
      <c r="J7" s="13" t="s">
        <v>56</v>
      </c>
      <c r="K7" s="15" t="s">
        <v>30</v>
      </c>
      <c r="L7" s="14" t="s">
        <v>98</v>
      </c>
      <c r="M7" s="15" t="s">
        <v>10</v>
      </c>
      <c r="N7" s="15" t="s">
        <v>8</v>
      </c>
      <c r="O7" s="15" t="s">
        <v>8</v>
      </c>
    </row>
    <row r="8" spans="1:15" x14ac:dyDescent="0.25">
      <c r="A8" s="11" t="s">
        <v>99</v>
      </c>
      <c r="B8" s="12" t="s">
        <v>17</v>
      </c>
      <c r="C8" s="12" t="s">
        <v>100</v>
      </c>
      <c r="D8" s="12" t="s">
        <v>101</v>
      </c>
      <c r="E8" s="12" t="s">
        <v>102</v>
      </c>
      <c r="F8" s="12" t="s">
        <v>103</v>
      </c>
      <c r="G8" s="12" t="s">
        <v>104</v>
      </c>
      <c r="H8" s="12" t="s">
        <v>105</v>
      </c>
      <c r="I8" s="12" t="s">
        <v>106</v>
      </c>
      <c r="J8" s="13" t="s">
        <v>56</v>
      </c>
      <c r="K8" s="12" t="s">
        <v>30</v>
      </c>
      <c r="L8" s="11" t="s">
        <v>98</v>
      </c>
      <c r="M8" s="12" t="s">
        <v>10</v>
      </c>
      <c r="N8" s="12" t="s">
        <v>8</v>
      </c>
      <c r="O8" s="12" t="s">
        <v>8</v>
      </c>
    </row>
    <row r="9" spans="1:15" x14ac:dyDescent="0.25">
      <c r="A9" s="14" t="s">
        <v>107</v>
      </c>
      <c r="B9" s="15" t="s">
        <v>17</v>
      </c>
      <c r="C9" s="15" t="s">
        <v>108</v>
      </c>
      <c r="D9" s="15" t="s">
        <v>109</v>
      </c>
      <c r="E9" s="15" t="s">
        <v>110</v>
      </c>
      <c r="F9" s="15" t="s">
        <v>111</v>
      </c>
      <c r="G9" s="15" t="s">
        <v>112</v>
      </c>
      <c r="H9" s="15" t="s">
        <v>113</v>
      </c>
      <c r="I9" s="15" t="s">
        <v>114</v>
      </c>
      <c r="J9" s="16" t="s">
        <v>82</v>
      </c>
      <c r="K9" s="15" t="s">
        <v>30</v>
      </c>
      <c r="L9" s="14" t="s">
        <v>98</v>
      </c>
      <c r="M9" s="15" t="s">
        <v>10</v>
      </c>
      <c r="N9" s="15" t="s">
        <v>8</v>
      </c>
      <c r="O9" s="15" t="s">
        <v>8</v>
      </c>
    </row>
    <row r="10" spans="1:15" x14ac:dyDescent="0.25">
      <c r="A10" s="11" t="s">
        <v>115</v>
      </c>
      <c r="B10" s="12" t="s">
        <v>18</v>
      </c>
      <c r="C10" s="12" t="s">
        <v>116</v>
      </c>
      <c r="D10" s="12" t="s">
        <v>117</v>
      </c>
      <c r="E10" s="12" t="s">
        <v>118</v>
      </c>
      <c r="F10" s="12" t="s">
        <v>119</v>
      </c>
      <c r="G10" s="12" t="s">
        <v>120</v>
      </c>
      <c r="H10" s="12" t="s">
        <v>121</v>
      </c>
      <c r="I10" s="12" t="s">
        <v>122</v>
      </c>
      <c r="J10" s="16" t="s">
        <v>82</v>
      </c>
      <c r="K10" s="12" t="s">
        <v>30</v>
      </c>
      <c r="L10" s="11" t="s">
        <v>98</v>
      </c>
      <c r="M10" s="12" t="s">
        <v>10</v>
      </c>
      <c r="N10" s="12" t="s">
        <v>8</v>
      </c>
      <c r="O10" s="12" t="s">
        <v>8</v>
      </c>
    </row>
    <row r="11" spans="1:15" x14ac:dyDescent="0.25">
      <c r="A11" s="14" t="s">
        <v>123</v>
      </c>
      <c r="B11" s="15" t="s">
        <v>18</v>
      </c>
      <c r="C11" s="15" t="s">
        <v>124</v>
      </c>
      <c r="D11" s="15" t="s">
        <v>125</v>
      </c>
      <c r="E11" s="15" t="s">
        <v>126</v>
      </c>
      <c r="F11" s="15" t="s">
        <v>127</v>
      </c>
      <c r="G11" s="15" t="s">
        <v>128</v>
      </c>
      <c r="H11" s="15" t="s">
        <v>129</v>
      </c>
      <c r="I11" s="15" t="s">
        <v>130</v>
      </c>
      <c r="J11" s="16" t="s">
        <v>82</v>
      </c>
      <c r="K11" s="15" t="s">
        <v>30</v>
      </c>
      <c r="L11" s="14" t="s">
        <v>131</v>
      </c>
      <c r="M11" s="15" t="s">
        <v>10</v>
      </c>
      <c r="N11" s="15" t="s">
        <v>8</v>
      </c>
      <c r="O11" s="15" t="s">
        <v>8</v>
      </c>
    </row>
    <row r="12" spans="1:15" x14ac:dyDescent="0.25">
      <c r="A12" s="11" t="s">
        <v>132</v>
      </c>
      <c r="B12" s="12" t="s">
        <v>18</v>
      </c>
      <c r="C12" s="12" t="s">
        <v>133</v>
      </c>
      <c r="D12" s="12" t="s">
        <v>134</v>
      </c>
      <c r="E12" s="12" t="s">
        <v>135</v>
      </c>
      <c r="F12" s="12" t="s">
        <v>136</v>
      </c>
      <c r="G12" s="12" t="s">
        <v>137</v>
      </c>
      <c r="H12" s="12" t="s">
        <v>138</v>
      </c>
      <c r="I12" s="12" t="s">
        <v>139</v>
      </c>
      <c r="J12" s="13" t="s">
        <v>56</v>
      </c>
      <c r="K12" s="12" t="s">
        <v>30</v>
      </c>
      <c r="L12" s="11" t="s">
        <v>131</v>
      </c>
      <c r="M12" s="12" t="s">
        <v>10</v>
      </c>
      <c r="N12" s="12" t="s">
        <v>8</v>
      </c>
      <c r="O12" s="12" t="s">
        <v>8</v>
      </c>
    </row>
    <row r="13" spans="1:15" x14ac:dyDescent="0.25">
      <c r="A13" s="14" t="s">
        <v>140</v>
      </c>
      <c r="B13" s="15" t="s">
        <v>18</v>
      </c>
      <c r="C13" s="15" t="s">
        <v>141</v>
      </c>
      <c r="D13" s="15" t="s">
        <v>142</v>
      </c>
      <c r="E13" s="15" t="s">
        <v>143</v>
      </c>
      <c r="F13" s="15" t="s">
        <v>144</v>
      </c>
      <c r="G13" s="15" t="s">
        <v>145</v>
      </c>
      <c r="H13" s="15" t="s">
        <v>146</v>
      </c>
      <c r="I13" s="15" t="s">
        <v>147</v>
      </c>
      <c r="J13" s="16" t="s">
        <v>82</v>
      </c>
      <c r="K13" s="15" t="s">
        <v>30</v>
      </c>
      <c r="L13" s="14" t="s">
        <v>131</v>
      </c>
      <c r="M13" s="15" t="s">
        <v>10</v>
      </c>
      <c r="N13" s="15" t="s">
        <v>8</v>
      </c>
      <c r="O13" s="15" t="s">
        <v>8</v>
      </c>
    </row>
    <row r="14" spans="1:15" x14ac:dyDescent="0.25">
      <c r="A14" s="11" t="s">
        <v>148</v>
      </c>
      <c r="B14" s="12" t="s">
        <v>18</v>
      </c>
      <c r="C14" s="12" t="s">
        <v>149</v>
      </c>
      <c r="D14" s="12" t="s">
        <v>150</v>
      </c>
      <c r="E14" s="12" t="s">
        <v>151</v>
      </c>
      <c r="F14" s="12" t="s">
        <v>152</v>
      </c>
      <c r="G14" s="12" t="s">
        <v>153</v>
      </c>
      <c r="H14" s="12" t="s">
        <v>154</v>
      </c>
      <c r="I14" s="12" t="s">
        <v>155</v>
      </c>
      <c r="J14" s="13" t="s">
        <v>56</v>
      </c>
      <c r="K14" s="12" t="s">
        <v>30</v>
      </c>
      <c r="L14" s="11" t="s">
        <v>131</v>
      </c>
      <c r="M14" s="12" t="s">
        <v>10</v>
      </c>
      <c r="N14" s="12" t="s">
        <v>8</v>
      </c>
      <c r="O14" s="12" t="s">
        <v>8</v>
      </c>
    </row>
    <row r="15" spans="1:15" x14ac:dyDescent="0.25">
      <c r="A15" s="14" t="s">
        <v>156</v>
      </c>
      <c r="B15" s="15" t="s">
        <v>19</v>
      </c>
      <c r="C15" s="15" t="s">
        <v>157</v>
      </c>
      <c r="D15" s="15" t="s">
        <v>158</v>
      </c>
      <c r="E15" s="15" t="s">
        <v>159</v>
      </c>
      <c r="F15" s="15" t="s">
        <v>160</v>
      </c>
      <c r="G15" s="15" t="s">
        <v>161</v>
      </c>
      <c r="H15" s="15" t="s">
        <v>162</v>
      </c>
      <c r="I15" s="15" t="s">
        <v>163</v>
      </c>
      <c r="J15" s="13" t="s">
        <v>56</v>
      </c>
      <c r="K15" s="15" t="s">
        <v>30</v>
      </c>
      <c r="L15" s="14" t="s">
        <v>57</v>
      </c>
      <c r="M15" s="15" t="s">
        <v>10</v>
      </c>
      <c r="N15" s="15" t="s">
        <v>8</v>
      </c>
      <c r="O15" s="15" t="s">
        <v>8</v>
      </c>
    </row>
    <row r="16" spans="1:15" x14ac:dyDescent="0.25">
      <c r="A16" s="11" t="s">
        <v>164</v>
      </c>
      <c r="B16" s="12" t="s">
        <v>19</v>
      </c>
      <c r="C16" s="12" t="s">
        <v>165</v>
      </c>
      <c r="D16" s="12" t="s">
        <v>166</v>
      </c>
      <c r="E16" s="12" t="s">
        <v>159</v>
      </c>
      <c r="F16" s="12" t="s">
        <v>167</v>
      </c>
      <c r="G16" s="12" t="s">
        <v>168</v>
      </c>
      <c r="H16" s="12" t="s">
        <v>169</v>
      </c>
      <c r="I16" s="12" t="s">
        <v>170</v>
      </c>
      <c r="J16" s="13" t="s">
        <v>56</v>
      </c>
      <c r="K16" s="12" t="s">
        <v>30</v>
      </c>
      <c r="L16" s="11" t="s">
        <v>57</v>
      </c>
      <c r="M16" s="12" t="s">
        <v>10</v>
      </c>
      <c r="N16" s="12" t="s">
        <v>8</v>
      </c>
      <c r="O16" s="12" t="s">
        <v>8</v>
      </c>
    </row>
    <row r="17" spans="1:15" x14ac:dyDescent="0.25">
      <c r="A17" s="14" t="s">
        <v>171</v>
      </c>
      <c r="B17" s="15" t="s">
        <v>19</v>
      </c>
      <c r="C17" s="15" t="s">
        <v>172</v>
      </c>
      <c r="D17" s="15" t="s">
        <v>173</v>
      </c>
      <c r="E17" s="15" t="s">
        <v>159</v>
      </c>
      <c r="F17" s="15" t="s">
        <v>174</v>
      </c>
      <c r="G17" s="15" t="s">
        <v>175</v>
      </c>
      <c r="H17" s="15" t="s">
        <v>176</v>
      </c>
      <c r="I17" s="15" t="s">
        <v>177</v>
      </c>
      <c r="J17" s="16" t="s">
        <v>82</v>
      </c>
      <c r="K17" s="15" t="s">
        <v>30</v>
      </c>
      <c r="L17" s="14" t="s">
        <v>57</v>
      </c>
      <c r="M17" s="15" t="s">
        <v>10</v>
      </c>
      <c r="N17" s="15" t="s">
        <v>8</v>
      </c>
      <c r="O17" s="15" t="s">
        <v>8</v>
      </c>
    </row>
    <row r="18" spans="1:15" x14ac:dyDescent="0.25">
      <c r="A18" s="11" t="s">
        <v>178</v>
      </c>
      <c r="B18" s="12" t="s">
        <v>19</v>
      </c>
      <c r="C18" s="12" t="s">
        <v>179</v>
      </c>
      <c r="D18" s="12" t="s">
        <v>180</v>
      </c>
      <c r="E18" s="12" t="s">
        <v>159</v>
      </c>
      <c r="F18" s="12" t="s">
        <v>181</v>
      </c>
      <c r="G18" s="12" t="s">
        <v>182</v>
      </c>
      <c r="H18" s="12" t="s">
        <v>183</v>
      </c>
      <c r="I18" s="12" t="s">
        <v>184</v>
      </c>
      <c r="J18" s="16" t="s">
        <v>82</v>
      </c>
      <c r="K18" s="12" t="s">
        <v>30</v>
      </c>
      <c r="L18" s="11" t="s">
        <v>98</v>
      </c>
      <c r="M18" s="12" t="s">
        <v>10</v>
      </c>
      <c r="N18" s="12" t="s">
        <v>8</v>
      </c>
      <c r="O18" s="12" t="s">
        <v>8</v>
      </c>
    </row>
    <row r="19" spans="1:15" x14ac:dyDescent="0.25">
      <c r="A19" s="14" t="s">
        <v>185</v>
      </c>
      <c r="B19" s="15" t="s">
        <v>19</v>
      </c>
      <c r="C19" s="15" t="s">
        <v>186</v>
      </c>
      <c r="D19" s="15" t="s">
        <v>187</v>
      </c>
      <c r="E19" s="15" t="s">
        <v>188</v>
      </c>
      <c r="F19" s="15" t="s">
        <v>189</v>
      </c>
      <c r="G19" s="15" t="s">
        <v>190</v>
      </c>
      <c r="H19" s="15" t="s">
        <v>191</v>
      </c>
      <c r="I19" s="15" t="s">
        <v>192</v>
      </c>
      <c r="J19" s="17" t="s">
        <v>193</v>
      </c>
      <c r="K19" s="15" t="s">
        <v>30</v>
      </c>
      <c r="L19" s="14" t="s">
        <v>98</v>
      </c>
      <c r="M19" s="15" t="s">
        <v>10</v>
      </c>
      <c r="N19" s="15" t="s">
        <v>8</v>
      </c>
      <c r="O19" s="15" t="s">
        <v>8</v>
      </c>
    </row>
    <row r="20" spans="1:15" x14ac:dyDescent="0.25">
      <c r="A20" s="11" t="s">
        <v>194</v>
      </c>
      <c r="B20" s="12" t="s">
        <v>19</v>
      </c>
      <c r="C20" s="12" t="s">
        <v>195</v>
      </c>
      <c r="D20" s="12" t="s">
        <v>196</v>
      </c>
      <c r="E20" s="12" t="s">
        <v>197</v>
      </c>
      <c r="F20" s="12" t="s">
        <v>198</v>
      </c>
      <c r="G20" s="12" t="s">
        <v>190</v>
      </c>
      <c r="H20" s="12" t="s">
        <v>199</v>
      </c>
      <c r="I20" s="12" t="s">
        <v>200</v>
      </c>
      <c r="J20" s="16" t="s">
        <v>82</v>
      </c>
      <c r="K20" s="12" t="s">
        <v>31</v>
      </c>
      <c r="L20" s="11" t="s">
        <v>98</v>
      </c>
      <c r="M20" s="12" t="s">
        <v>10</v>
      </c>
      <c r="N20" s="12" t="s">
        <v>8</v>
      </c>
      <c r="O20" s="12" t="s">
        <v>8</v>
      </c>
    </row>
    <row r="21" spans="1:15" x14ac:dyDescent="0.25">
      <c r="A21" s="14" t="s">
        <v>201</v>
      </c>
      <c r="B21" s="15" t="s">
        <v>19</v>
      </c>
      <c r="C21" s="15" t="s">
        <v>202</v>
      </c>
      <c r="D21" s="15" t="s">
        <v>203</v>
      </c>
      <c r="E21" s="15" t="s">
        <v>204</v>
      </c>
      <c r="F21" s="15" t="s">
        <v>205</v>
      </c>
      <c r="G21" s="15" t="s">
        <v>206</v>
      </c>
      <c r="H21" s="15" t="s">
        <v>207</v>
      </c>
      <c r="I21" s="15" t="s">
        <v>208</v>
      </c>
      <c r="J21" s="13" t="s">
        <v>56</v>
      </c>
      <c r="K21" s="15" t="s">
        <v>31</v>
      </c>
      <c r="L21" s="14" t="s">
        <v>131</v>
      </c>
      <c r="M21" s="15" t="s">
        <v>10</v>
      </c>
      <c r="N21" s="15" t="s">
        <v>8</v>
      </c>
      <c r="O21" s="15" t="s">
        <v>8</v>
      </c>
    </row>
    <row r="22" spans="1:15" x14ac:dyDescent="0.25">
      <c r="A22" s="11" t="s">
        <v>209</v>
      </c>
      <c r="B22" s="12" t="s">
        <v>20</v>
      </c>
      <c r="C22" s="12" t="s">
        <v>210</v>
      </c>
      <c r="D22" s="12" t="s">
        <v>211</v>
      </c>
      <c r="E22" s="12" t="s">
        <v>212</v>
      </c>
      <c r="F22" s="12" t="s">
        <v>213</v>
      </c>
      <c r="G22" s="12" t="s">
        <v>161</v>
      </c>
      <c r="H22" s="12" t="s">
        <v>214</v>
      </c>
      <c r="I22" s="12" t="s">
        <v>215</v>
      </c>
      <c r="J22" s="13" t="s">
        <v>56</v>
      </c>
      <c r="K22" s="12" t="s">
        <v>31</v>
      </c>
      <c r="L22" s="11" t="s">
        <v>131</v>
      </c>
      <c r="M22" s="12" t="s">
        <v>10</v>
      </c>
      <c r="N22" s="12" t="s">
        <v>8</v>
      </c>
      <c r="O22" s="12" t="s">
        <v>8</v>
      </c>
    </row>
    <row r="23" spans="1:15" x14ac:dyDescent="0.25">
      <c r="A23" s="14" t="s">
        <v>216</v>
      </c>
      <c r="B23" s="15" t="s">
        <v>20</v>
      </c>
      <c r="C23" s="15" t="s">
        <v>217</v>
      </c>
      <c r="D23" s="15" t="s">
        <v>218</v>
      </c>
      <c r="E23" s="15" t="s">
        <v>212</v>
      </c>
      <c r="F23" s="15" t="s">
        <v>219</v>
      </c>
      <c r="G23" s="15" t="s">
        <v>220</v>
      </c>
      <c r="H23" s="15" t="s">
        <v>221</v>
      </c>
      <c r="I23" s="15" t="s">
        <v>222</v>
      </c>
      <c r="J23" s="13" t="s">
        <v>56</v>
      </c>
      <c r="K23" s="15" t="s">
        <v>31</v>
      </c>
      <c r="L23" s="14" t="s">
        <v>223</v>
      </c>
      <c r="M23" s="15" t="s">
        <v>10</v>
      </c>
      <c r="N23" s="15" t="s">
        <v>8</v>
      </c>
      <c r="O23" s="15" t="s">
        <v>8</v>
      </c>
    </row>
    <row r="24" spans="1:15" x14ac:dyDescent="0.25">
      <c r="A24" s="11" t="s">
        <v>224</v>
      </c>
      <c r="B24" s="12" t="s">
        <v>20</v>
      </c>
      <c r="C24" s="12" t="s">
        <v>225</v>
      </c>
      <c r="D24" s="12" t="s">
        <v>226</v>
      </c>
      <c r="E24" s="12" t="s">
        <v>212</v>
      </c>
      <c r="F24" s="12" t="s">
        <v>227</v>
      </c>
      <c r="G24" s="12" t="s">
        <v>228</v>
      </c>
      <c r="H24" s="12" t="s">
        <v>229</v>
      </c>
      <c r="I24" s="12" t="s">
        <v>230</v>
      </c>
      <c r="J24" s="16" t="s">
        <v>82</v>
      </c>
      <c r="K24" s="12" t="s">
        <v>31</v>
      </c>
      <c r="L24" s="11" t="s">
        <v>223</v>
      </c>
      <c r="M24" s="12" t="s">
        <v>10</v>
      </c>
      <c r="N24" s="12" t="s">
        <v>8</v>
      </c>
      <c r="O24" s="12" t="s">
        <v>8</v>
      </c>
    </row>
    <row r="25" spans="1:15" x14ac:dyDescent="0.25">
      <c r="A25" s="14" t="s">
        <v>231</v>
      </c>
      <c r="B25" s="15" t="s">
        <v>20</v>
      </c>
      <c r="C25" s="15" t="s">
        <v>232</v>
      </c>
      <c r="D25" s="15" t="s">
        <v>233</v>
      </c>
      <c r="E25" s="15" t="s">
        <v>234</v>
      </c>
      <c r="F25" s="15" t="s">
        <v>235</v>
      </c>
      <c r="G25" s="15" t="s">
        <v>228</v>
      </c>
      <c r="H25" s="15" t="s">
        <v>236</v>
      </c>
      <c r="I25" s="15" t="s">
        <v>237</v>
      </c>
      <c r="J25" s="16" t="s">
        <v>82</v>
      </c>
      <c r="K25" s="15" t="s">
        <v>31</v>
      </c>
      <c r="L25" s="14" t="s">
        <v>223</v>
      </c>
      <c r="M25" s="15" t="s">
        <v>10</v>
      </c>
      <c r="N25" s="15" t="s">
        <v>8</v>
      </c>
      <c r="O25" s="15" t="s">
        <v>8</v>
      </c>
    </row>
    <row r="26" spans="1:15" x14ac:dyDescent="0.25">
      <c r="A26" s="11" t="s">
        <v>238</v>
      </c>
      <c r="B26" s="12" t="s">
        <v>20</v>
      </c>
      <c r="C26" s="12" t="s">
        <v>239</v>
      </c>
      <c r="D26" s="12" t="s">
        <v>240</v>
      </c>
      <c r="E26" s="12" t="s">
        <v>241</v>
      </c>
      <c r="F26" s="12" t="s">
        <v>242</v>
      </c>
      <c r="G26" s="12" t="s">
        <v>206</v>
      </c>
      <c r="H26" s="12" t="s">
        <v>207</v>
      </c>
      <c r="I26" s="12" t="s">
        <v>243</v>
      </c>
      <c r="J26" s="16" t="s">
        <v>82</v>
      </c>
      <c r="K26" s="12" t="s">
        <v>31</v>
      </c>
      <c r="L26" s="11" t="s">
        <v>223</v>
      </c>
      <c r="M26" s="12" t="s">
        <v>10</v>
      </c>
      <c r="N26" s="12" t="s">
        <v>8</v>
      </c>
      <c r="O26" s="12" t="s">
        <v>8</v>
      </c>
    </row>
    <row r="27" spans="1:15" x14ac:dyDescent="0.25">
      <c r="A27" s="14" t="s">
        <v>244</v>
      </c>
      <c r="B27" s="15" t="s">
        <v>20</v>
      </c>
      <c r="C27" s="15" t="s">
        <v>245</v>
      </c>
      <c r="D27" s="15" t="s">
        <v>246</v>
      </c>
      <c r="E27" s="15" t="s">
        <v>247</v>
      </c>
      <c r="F27" s="15" t="s">
        <v>248</v>
      </c>
      <c r="G27" s="15" t="s">
        <v>249</v>
      </c>
      <c r="H27" s="15" t="s">
        <v>250</v>
      </c>
      <c r="I27" s="15" t="s">
        <v>251</v>
      </c>
      <c r="J27" s="13" t="s">
        <v>56</v>
      </c>
      <c r="K27" s="15" t="s">
        <v>31</v>
      </c>
      <c r="L27" s="14" t="s">
        <v>252</v>
      </c>
      <c r="M27" s="15" t="s">
        <v>10</v>
      </c>
      <c r="N27" s="15" t="s">
        <v>8</v>
      </c>
      <c r="O27" s="15" t="s">
        <v>8</v>
      </c>
    </row>
    <row r="28" spans="1:15" x14ac:dyDescent="0.25">
      <c r="A28" s="11" t="s">
        <v>253</v>
      </c>
      <c r="B28" s="12" t="s">
        <v>21</v>
      </c>
      <c r="C28" s="12" t="s">
        <v>254</v>
      </c>
      <c r="D28" s="12" t="s">
        <v>255</v>
      </c>
      <c r="E28" s="12" t="s">
        <v>256</v>
      </c>
      <c r="F28" s="12" t="s">
        <v>257</v>
      </c>
      <c r="G28" s="12" t="s">
        <v>258</v>
      </c>
      <c r="H28" s="12" t="s">
        <v>259</v>
      </c>
      <c r="I28" s="12" t="s">
        <v>260</v>
      </c>
      <c r="J28" s="13" t="s">
        <v>56</v>
      </c>
      <c r="K28" s="12" t="s">
        <v>31</v>
      </c>
      <c r="L28" s="11" t="s">
        <v>252</v>
      </c>
      <c r="M28" s="12" t="s">
        <v>10</v>
      </c>
      <c r="N28" s="12" t="s">
        <v>8</v>
      </c>
      <c r="O28" s="12" t="s">
        <v>8</v>
      </c>
    </row>
    <row r="29" spans="1:15" x14ac:dyDescent="0.25">
      <c r="A29" s="14" t="s">
        <v>261</v>
      </c>
      <c r="B29" s="15" t="s">
        <v>21</v>
      </c>
      <c r="C29" s="15" t="s">
        <v>262</v>
      </c>
      <c r="D29" s="15" t="s">
        <v>263</v>
      </c>
      <c r="E29" s="15" t="s">
        <v>264</v>
      </c>
      <c r="F29" s="15" t="s">
        <v>265</v>
      </c>
      <c r="G29" s="15" t="s">
        <v>266</v>
      </c>
      <c r="H29" s="15" t="s">
        <v>267</v>
      </c>
      <c r="I29" s="15" t="s">
        <v>268</v>
      </c>
      <c r="J29" s="16" t="s">
        <v>82</v>
      </c>
      <c r="K29" s="15" t="s">
        <v>31</v>
      </c>
      <c r="L29" s="14" t="s">
        <v>252</v>
      </c>
      <c r="M29" s="15" t="s">
        <v>10</v>
      </c>
      <c r="N29" s="15" t="s">
        <v>8</v>
      </c>
      <c r="O29" s="15" t="s">
        <v>8</v>
      </c>
    </row>
    <row r="30" spans="1:15" x14ac:dyDescent="0.25">
      <c r="A30" s="11" t="s">
        <v>269</v>
      </c>
      <c r="B30" s="12" t="s">
        <v>21</v>
      </c>
      <c r="C30" s="12" t="s">
        <v>270</v>
      </c>
      <c r="D30" s="12" t="s">
        <v>271</v>
      </c>
      <c r="E30" s="12" t="s">
        <v>272</v>
      </c>
      <c r="F30" s="12" t="s">
        <v>273</v>
      </c>
      <c r="G30" s="12" t="s">
        <v>258</v>
      </c>
      <c r="H30" s="12" t="s">
        <v>274</v>
      </c>
      <c r="I30" s="12" t="s">
        <v>275</v>
      </c>
      <c r="J30" s="16" t="s">
        <v>82</v>
      </c>
      <c r="K30" s="12" t="s">
        <v>31</v>
      </c>
      <c r="L30" s="11" t="s">
        <v>252</v>
      </c>
      <c r="M30" s="12" t="s">
        <v>10</v>
      </c>
      <c r="N30" s="12" t="s">
        <v>8</v>
      </c>
      <c r="O30" s="12" t="s">
        <v>8</v>
      </c>
    </row>
    <row r="31" spans="1:15" x14ac:dyDescent="0.25">
      <c r="A31" s="14" t="s">
        <v>276</v>
      </c>
      <c r="B31" s="15" t="s">
        <v>21</v>
      </c>
      <c r="C31" s="15" t="s">
        <v>277</v>
      </c>
      <c r="D31" s="15" t="s">
        <v>278</v>
      </c>
      <c r="E31" s="15" t="s">
        <v>279</v>
      </c>
      <c r="F31" s="15" t="s">
        <v>280</v>
      </c>
      <c r="G31" s="15" t="s">
        <v>266</v>
      </c>
      <c r="H31" s="15" t="s">
        <v>281</v>
      </c>
      <c r="I31" s="15" t="s">
        <v>282</v>
      </c>
      <c r="J31" s="17" t="s">
        <v>193</v>
      </c>
      <c r="K31" s="15" t="s">
        <v>31</v>
      </c>
      <c r="L31" s="14" t="s">
        <v>283</v>
      </c>
      <c r="M31" s="15" t="s">
        <v>10</v>
      </c>
      <c r="N31" s="15" t="s">
        <v>8</v>
      </c>
      <c r="O31" s="15" t="s">
        <v>8</v>
      </c>
    </row>
    <row r="32" spans="1:15" x14ac:dyDescent="0.25">
      <c r="A32" s="11" t="s">
        <v>284</v>
      </c>
      <c r="B32" s="12" t="s">
        <v>21</v>
      </c>
      <c r="C32" s="12" t="s">
        <v>285</v>
      </c>
      <c r="D32" s="12" t="s">
        <v>286</v>
      </c>
      <c r="E32" s="12" t="s">
        <v>287</v>
      </c>
      <c r="F32" s="12" t="s">
        <v>288</v>
      </c>
      <c r="G32" s="12" t="s">
        <v>258</v>
      </c>
      <c r="H32" s="12" t="s">
        <v>289</v>
      </c>
      <c r="I32" s="12" t="s">
        <v>290</v>
      </c>
      <c r="J32" s="17" t="s">
        <v>193</v>
      </c>
      <c r="K32" s="12" t="s">
        <v>31</v>
      </c>
      <c r="L32" s="11" t="s">
        <v>283</v>
      </c>
      <c r="M32" s="12" t="s">
        <v>10</v>
      </c>
      <c r="N32" s="12" t="s">
        <v>8</v>
      </c>
      <c r="O32" s="12" t="s">
        <v>8</v>
      </c>
    </row>
    <row r="33" spans="1:15" x14ac:dyDescent="0.25">
      <c r="A33" s="14" t="s">
        <v>291</v>
      </c>
      <c r="B33" s="15" t="s">
        <v>21</v>
      </c>
      <c r="C33" s="15" t="s">
        <v>292</v>
      </c>
      <c r="D33" s="15" t="s">
        <v>293</v>
      </c>
      <c r="E33" s="15" t="s">
        <v>294</v>
      </c>
      <c r="F33" s="15" t="s">
        <v>295</v>
      </c>
      <c r="G33" s="15" t="s">
        <v>296</v>
      </c>
      <c r="H33" s="15" t="s">
        <v>297</v>
      </c>
      <c r="I33" s="15" t="s">
        <v>298</v>
      </c>
      <c r="J33" s="16" t="s">
        <v>82</v>
      </c>
      <c r="K33" s="15" t="s">
        <v>31</v>
      </c>
      <c r="L33" s="14" t="s">
        <v>283</v>
      </c>
      <c r="M33" s="15" t="s">
        <v>10</v>
      </c>
      <c r="N33" s="15" t="s">
        <v>8</v>
      </c>
      <c r="O33" s="15" t="s">
        <v>8</v>
      </c>
    </row>
    <row r="34" spans="1:15" x14ac:dyDescent="0.25">
      <c r="A34" s="11" t="s">
        <v>299</v>
      </c>
      <c r="B34" s="12" t="s">
        <v>22</v>
      </c>
      <c r="C34" s="12" t="s">
        <v>300</v>
      </c>
      <c r="D34" s="12" t="s">
        <v>301</v>
      </c>
      <c r="E34" s="12" t="s">
        <v>302</v>
      </c>
      <c r="F34" s="12" t="s">
        <v>303</v>
      </c>
      <c r="G34" s="12" t="s">
        <v>304</v>
      </c>
      <c r="H34" s="12" t="s">
        <v>305</v>
      </c>
      <c r="I34" s="12" t="s">
        <v>306</v>
      </c>
      <c r="J34" s="13" t="s">
        <v>56</v>
      </c>
      <c r="K34" s="12" t="s">
        <v>31</v>
      </c>
      <c r="L34" s="11" t="s">
        <v>57</v>
      </c>
      <c r="M34" s="12" t="s">
        <v>10</v>
      </c>
      <c r="N34" s="12" t="s">
        <v>8</v>
      </c>
      <c r="O34" s="12" t="s">
        <v>8</v>
      </c>
    </row>
    <row r="35" spans="1:15" x14ac:dyDescent="0.25">
      <c r="A35" s="14" t="s">
        <v>307</v>
      </c>
      <c r="B35" s="15" t="s">
        <v>22</v>
      </c>
      <c r="C35" s="15" t="s">
        <v>308</v>
      </c>
      <c r="D35" s="15" t="s">
        <v>309</v>
      </c>
      <c r="E35" s="15" t="s">
        <v>310</v>
      </c>
      <c r="F35" s="15" t="s">
        <v>311</v>
      </c>
      <c r="G35" s="15" t="s">
        <v>312</v>
      </c>
      <c r="H35" s="15" t="s">
        <v>313</v>
      </c>
      <c r="I35" s="15" t="s">
        <v>314</v>
      </c>
      <c r="J35" s="13" t="s">
        <v>56</v>
      </c>
      <c r="K35" s="15" t="s">
        <v>31</v>
      </c>
      <c r="L35" s="14" t="s">
        <v>57</v>
      </c>
      <c r="M35" s="15" t="s">
        <v>10</v>
      </c>
      <c r="N35" s="15" t="s">
        <v>8</v>
      </c>
      <c r="O35" s="15" t="s">
        <v>8</v>
      </c>
    </row>
    <row r="36" spans="1:15" x14ac:dyDescent="0.25">
      <c r="A36" s="11" t="s">
        <v>315</v>
      </c>
      <c r="B36" s="12" t="s">
        <v>22</v>
      </c>
      <c r="C36" s="12" t="s">
        <v>316</v>
      </c>
      <c r="D36" s="12" t="s">
        <v>317</v>
      </c>
      <c r="E36" s="12" t="s">
        <v>318</v>
      </c>
      <c r="F36" s="12" t="s">
        <v>319</v>
      </c>
      <c r="G36" s="12" t="s">
        <v>320</v>
      </c>
      <c r="H36" s="12" t="s">
        <v>321</v>
      </c>
      <c r="I36" s="12" t="s">
        <v>322</v>
      </c>
      <c r="J36" s="13" t="s">
        <v>56</v>
      </c>
      <c r="K36" s="12" t="s">
        <v>31</v>
      </c>
      <c r="L36" s="11" t="s">
        <v>98</v>
      </c>
      <c r="M36" s="12" t="s">
        <v>10</v>
      </c>
      <c r="N36" s="12" t="s">
        <v>8</v>
      </c>
      <c r="O36" s="12" t="s">
        <v>8</v>
      </c>
    </row>
    <row r="37" spans="1:15" x14ac:dyDescent="0.25">
      <c r="A37" s="14" t="s">
        <v>323</v>
      </c>
      <c r="B37" s="15" t="s">
        <v>22</v>
      </c>
      <c r="C37" s="15" t="s">
        <v>324</v>
      </c>
      <c r="D37" s="15" t="s">
        <v>325</v>
      </c>
      <c r="E37" s="15" t="s">
        <v>326</v>
      </c>
      <c r="F37" s="15" t="s">
        <v>327</v>
      </c>
      <c r="G37" s="15" t="s">
        <v>328</v>
      </c>
      <c r="H37" s="15" t="s">
        <v>329</v>
      </c>
      <c r="I37" s="15" t="s">
        <v>330</v>
      </c>
      <c r="J37" s="16" t="s">
        <v>82</v>
      </c>
      <c r="K37" s="15" t="s">
        <v>31</v>
      </c>
      <c r="L37" s="14" t="s">
        <v>98</v>
      </c>
      <c r="M37" s="15" t="s">
        <v>10</v>
      </c>
      <c r="N37" s="15" t="s">
        <v>8</v>
      </c>
      <c r="O37" s="15" t="s">
        <v>8</v>
      </c>
    </row>
    <row r="38" spans="1:15" x14ac:dyDescent="0.25">
      <c r="A38" s="11" t="s">
        <v>331</v>
      </c>
      <c r="B38" s="12" t="s">
        <v>22</v>
      </c>
      <c r="C38" s="12" t="s">
        <v>332</v>
      </c>
      <c r="D38" s="12" t="s">
        <v>333</v>
      </c>
      <c r="E38" s="12" t="s">
        <v>334</v>
      </c>
      <c r="F38" s="12" t="s">
        <v>335</v>
      </c>
      <c r="G38" s="12" t="s">
        <v>336</v>
      </c>
      <c r="H38" s="12" t="s">
        <v>337</v>
      </c>
      <c r="I38" s="12" t="s">
        <v>338</v>
      </c>
      <c r="J38" s="16" t="s">
        <v>82</v>
      </c>
      <c r="K38" s="12" t="s">
        <v>32</v>
      </c>
      <c r="L38" s="11" t="s">
        <v>98</v>
      </c>
      <c r="M38" s="12" t="s">
        <v>10</v>
      </c>
      <c r="N38" s="12" t="s">
        <v>8</v>
      </c>
      <c r="O38" s="12" t="s">
        <v>8</v>
      </c>
    </row>
    <row r="39" spans="1:15" x14ac:dyDescent="0.25">
      <c r="A39" s="14" t="s">
        <v>339</v>
      </c>
      <c r="B39" s="15" t="s">
        <v>22</v>
      </c>
      <c r="C39" s="15" t="s">
        <v>340</v>
      </c>
      <c r="D39" s="15" t="s">
        <v>341</v>
      </c>
      <c r="E39" s="15" t="s">
        <v>342</v>
      </c>
      <c r="F39" s="15" t="s">
        <v>343</v>
      </c>
      <c r="G39" s="15" t="s">
        <v>344</v>
      </c>
      <c r="H39" s="15" t="s">
        <v>345</v>
      </c>
      <c r="I39" s="15" t="s">
        <v>346</v>
      </c>
      <c r="J39" s="16" t="s">
        <v>82</v>
      </c>
      <c r="K39" s="15" t="s">
        <v>32</v>
      </c>
      <c r="L39" s="14" t="s">
        <v>131</v>
      </c>
      <c r="M39" s="15" t="s">
        <v>10</v>
      </c>
      <c r="N39" s="15" t="s">
        <v>8</v>
      </c>
      <c r="O39" s="15" t="s">
        <v>8</v>
      </c>
    </row>
    <row r="40" spans="1:15" x14ac:dyDescent="0.25">
      <c r="A40" s="11" t="s">
        <v>347</v>
      </c>
      <c r="B40" s="12" t="s">
        <v>22</v>
      </c>
      <c r="C40" s="12" t="s">
        <v>348</v>
      </c>
      <c r="D40" s="12" t="s">
        <v>349</v>
      </c>
      <c r="E40" s="12" t="s">
        <v>350</v>
      </c>
      <c r="F40" s="12" t="s">
        <v>351</v>
      </c>
      <c r="G40" s="12" t="s">
        <v>352</v>
      </c>
      <c r="H40" s="12" t="s">
        <v>353</v>
      </c>
      <c r="I40" s="12" t="s">
        <v>354</v>
      </c>
      <c r="J40" s="17" t="s">
        <v>193</v>
      </c>
      <c r="K40" s="12" t="s">
        <v>32</v>
      </c>
      <c r="L40" s="11" t="s">
        <v>131</v>
      </c>
      <c r="M40" s="12" t="s">
        <v>10</v>
      </c>
      <c r="N40" s="12" t="s">
        <v>8</v>
      </c>
      <c r="O40" s="12" t="s">
        <v>8</v>
      </c>
    </row>
    <row r="41" spans="1:15" x14ac:dyDescent="0.25">
      <c r="A41" s="14" t="s">
        <v>355</v>
      </c>
      <c r="B41" s="15" t="s">
        <v>23</v>
      </c>
      <c r="C41" s="15" t="s">
        <v>356</v>
      </c>
      <c r="D41" s="15" t="s">
        <v>357</v>
      </c>
      <c r="E41" s="15" t="s">
        <v>358</v>
      </c>
      <c r="F41" s="15" t="s">
        <v>359</v>
      </c>
      <c r="G41" s="15" t="s">
        <v>360</v>
      </c>
      <c r="H41" s="15" t="s">
        <v>361</v>
      </c>
      <c r="I41" s="15" t="s">
        <v>362</v>
      </c>
      <c r="J41" s="16" t="s">
        <v>82</v>
      </c>
      <c r="K41" s="15" t="s">
        <v>32</v>
      </c>
      <c r="L41" s="14" t="s">
        <v>223</v>
      </c>
      <c r="M41" s="15" t="s">
        <v>10</v>
      </c>
      <c r="N41" s="15" t="s">
        <v>8</v>
      </c>
      <c r="O41" s="15" t="s">
        <v>8</v>
      </c>
    </row>
    <row r="42" spans="1:15" x14ac:dyDescent="0.25">
      <c r="A42" s="11" t="s">
        <v>363</v>
      </c>
      <c r="B42" s="12" t="s">
        <v>23</v>
      </c>
      <c r="C42" s="12" t="s">
        <v>364</v>
      </c>
      <c r="D42" s="12" t="s">
        <v>365</v>
      </c>
      <c r="E42" s="12" t="s">
        <v>366</v>
      </c>
      <c r="F42" s="12" t="s">
        <v>367</v>
      </c>
      <c r="G42" s="12" t="s">
        <v>368</v>
      </c>
      <c r="H42" s="12" t="s">
        <v>369</v>
      </c>
      <c r="I42" s="12" t="s">
        <v>370</v>
      </c>
      <c r="J42" s="16" t="s">
        <v>82</v>
      </c>
      <c r="K42" s="12" t="s">
        <v>32</v>
      </c>
      <c r="L42" s="11" t="s">
        <v>223</v>
      </c>
      <c r="M42" s="12" t="s">
        <v>10</v>
      </c>
      <c r="N42" s="12" t="s">
        <v>8</v>
      </c>
      <c r="O42" s="12" t="s">
        <v>8</v>
      </c>
    </row>
    <row r="43" spans="1:15" x14ac:dyDescent="0.25">
      <c r="A43" s="14" t="s">
        <v>371</v>
      </c>
      <c r="B43" s="15" t="s">
        <v>23</v>
      </c>
      <c r="C43" s="15" t="s">
        <v>372</v>
      </c>
      <c r="D43" s="15" t="s">
        <v>373</v>
      </c>
      <c r="E43" s="15" t="s">
        <v>374</v>
      </c>
      <c r="F43" s="15" t="s">
        <v>375</v>
      </c>
      <c r="G43" s="15" t="s">
        <v>376</v>
      </c>
      <c r="H43" s="15" t="s">
        <v>377</v>
      </c>
      <c r="I43" s="15" t="s">
        <v>378</v>
      </c>
      <c r="J43" s="17" t="s">
        <v>193</v>
      </c>
      <c r="K43" s="15" t="s">
        <v>32</v>
      </c>
      <c r="L43" s="14" t="s">
        <v>223</v>
      </c>
      <c r="M43" s="15" t="s">
        <v>10</v>
      </c>
      <c r="N43" s="15" t="s">
        <v>8</v>
      </c>
      <c r="O43" s="15" t="s">
        <v>8</v>
      </c>
    </row>
    <row r="44" spans="1:15" x14ac:dyDescent="0.25">
      <c r="A44" s="11" t="s">
        <v>379</v>
      </c>
      <c r="B44" s="12" t="s">
        <v>23</v>
      </c>
      <c r="C44" s="12" t="s">
        <v>380</v>
      </c>
      <c r="D44" s="12" t="s">
        <v>381</v>
      </c>
      <c r="E44" s="12" t="s">
        <v>382</v>
      </c>
      <c r="F44" s="12" t="s">
        <v>383</v>
      </c>
      <c r="G44" s="12" t="s">
        <v>360</v>
      </c>
      <c r="H44" s="12" t="s">
        <v>384</v>
      </c>
      <c r="I44" s="12" t="s">
        <v>385</v>
      </c>
      <c r="J44" s="16" t="s">
        <v>82</v>
      </c>
      <c r="K44" s="12" t="s">
        <v>32</v>
      </c>
      <c r="L44" s="11" t="s">
        <v>252</v>
      </c>
      <c r="M44" s="12" t="s">
        <v>10</v>
      </c>
      <c r="N44" s="12" t="s">
        <v>8</v>
      </c>
      <c r="O44" s="12" t="s">
        <v>8</v>
      </c>
    </row>
    <row r="45" spans="1:15" x14ac:dyDescent="0.25">
      <c r="A45" s="14" t="s">
        <v>386</v>
      </c>
      <c r="B45" s="15" t="s">
        <v>23</v>
      </c>
      <c r="C45" s="15" t="s">
        <v>387</v>
      </c>
      <c r="D45" s="15" t="s">
        <v>388</v>
      </c>
      <c r="E45" s="15" t="s">
        <v>389</v>
      </c>
      <c r="F45" s="15" t="s">
        <v>390</v>
      </c>
      <c r="G45" s="15" t="s">
        <v>391</v>
      </c>
      <c r="H45" s="15" t="s">
        <v>392</v>
      </c>
      <c r="I45" s="15" t="s">
        <v>393</v>
      </c>
      <c r="J45" s="17" t="s">
        <v>193</v>
      </c>
      <c r="K45" s="15" t="s">
        <v>32</v>
      </c>
      <c r="L45" s="14" t="s">
        <v>252</v>
      </c>
      <c r="M45" s="15" t="s">
        <v>10</v>
      </c>
      <c r="N45" s="15" t="s">
        <v>8</v>
      </c>
      <c r="O45" s="15" t="s">
        <v>8</v>
      </c>
    </row>
    <row r="46" spans="1:15" x14ac:dyDescent="0.25">
      <c r="A46" s="11" t="s">
        <v>394</v>
      </c>
      <c r="B46" s="12" t="s">
        <v>23</v>
      </c>
      <c r="C46" s="12" t="s">
        <v>395</v>
      </c>
      <c r="D46" s="12" t="s">
        <v>396</v>
      </c>
      <c r="E46" s="12" t="s">
        <v>397</v>
      </c>
      <c r="F46" s="12" t="s">
        <v>398</v>
      </c>
      <c r="G46" s="12" t="s">
        <v>399</v>
      </c>
      <c r="H46" s="12" t="s">
        <v>400</v>
      </c>
      <c r="I46" s="12" t="s">
        <v>401</v>
      </c>
      <c r="J46" s="16" t="s">
        <v>82</v>
      </c>
      <c r="K46" s="12" t="s">
        <v>32</v>
      </c>
      <c r="L46" s="11" t="s">
        <v>252</v>
      </c>
      <c r="M46" s="12" t="s">
        <v>10</v>
      </c>
      <c r="N46" s="12" t="s">
        <v>8</v>
      </c>
      <c r="O46" s="12" t="s">
        <v>8</v>
      </c>
    </row>
    <row r="47" spans="1:15" x14ac:dyDescent="0.25">
      <c r="A47" s="14" t="s">
        <v>402</v>
      </c>
      <c r="B47" s="15" t="s">
        <v>24</v>
      </c>
      <c r="C47" s="15" t="s">
        <v>403</v>
      </c>
      <c r="D47" s="15" t="s">
        <v>404</v>
      </c>
      <c r="E47" s="15" t="s">
        <v>405</v>
      </c>
      <c r="F47" s="15" t="s">
        <v>406</v>
      </c>
      <c r="G47" s="15" t="s">
        <v>407</v>
      </c>
      <c r="H47" s="15" t="s">
        <v>408</v>
      </c>
      <c r="I47" s="15" t="s">
        <v>409</v>
      </c>
      <c r="J47" s="13" t="s">
        <v>56</v>
      </c>
      <c r="K47" s="15" t="s">
        <v>32</v>
      </c>
      <c r="L47" s="14" t="s">
        <v>283</v>
      </c>
      <c r="M47" s="15" t="s">
        <v>10</v>
      </c>
      <c r="N47" s="15" t="s">
        <v>8</v>
      </c>
      <c r="O47" s="15" t="s">
        <v>8</v>
      </c>
    </row>
    <row r="48" spans="1:15" x14ac:dyDescent="0.25">
      <c r="A48" s="11" t="s">
        <v>410</v>
      </c>
      <c r="B48" s="12" t="s">
        <v>24</v>
      </c>
      <c r="C48" s="12" t="s">
        <v>411</v>
      </c>
      <c r="D48" s="12" t="s">
        <v>412</v>
      </c>
      <c r="E48" s="12" t="s">
        <v>413</v>
      </c>
      <c r="F48" s="12" t="s">
        <v>414</v>
      </c>
      <c r="G48" s="12" t="s">
        <v>415</v>
      </c>
      <c r="H48" s="12" t="s">
        <v>416</v>
      </c>
      <c r="I48" s="12" t="s">
        <v>417</v>
      </c>
      <c r="J48" s="13" t="s">
        <v>56</v>
      </c>
      <c r="K48" s="12" t="s">
        <v>32</v>
      </c>
      <c r="L48" s="11" t="s">
        <v>283</v>
      </c>
      <c r="M48" s="12" t="s">
        <v>10</v>
      </c>
      <c r="N48" s="12" t="s">
        <v>8</v>
      </c>
      <c r="O48" s="12" t="s">
        <v>8</v>
      </c>
    </row>
    <row r="49" spans="1:15" x14ac:dyDescent="0.25">
      <c r="A49" s="14" t="s">
        <v>418</v>
      </c>
      <c r="B49" s="15" t="s">
        <v>24</v>
      </c>
      <c r="C49" s="15" t="s">
        <v>419</v>
      </c>
      <c r="D49" s="15" t="s">
        <v>420</v>
      </c>
      <c r="E49" s="15" t="s">
        <v>421</v>
      </c>
      <c r="F49" s="15" t="s">
        <v>422</v>
      </c>
      <c r="G49" s="15" t="s">
        <v>423</v>
      </c>
      <c r="H49" s="15" t="s">
        <v>424</v>
      </c>
      <c r="I49" s="15" t="s">
        <v>425</v>
      </c>
      <c r="J49" s="16" t="s">
        <v>82</v>
      </c>
      <c r="K49" s="15" t="s">
        <v>32</v>
      </c>
      <c r="L49" s="14" t="s">
        <v>283</v>
      </c>
      <c r="M49" s="15" t="s">
        <v>10</v>
      </c>
      <c r="N49" s="15" t="s">
        <v>8</v>
      </c>
      <c r="O49" s="15" t="s">
        <v>8</v>
      </c>
    </row>
    <row r="50" spans="1:15" x14ac:dyDescent="0.25">
      <c r="A50" s="11" t="s">
        <v>426</v>
      </c>
      <c r="B50" s="12" t="s">
        <v>24</v>
      </c>
      <c r="C50" s="12" t="s">
        <v>427</v>
      </c>
      <c r="D50" s="12" t="s">
        <v>428</v>
      </c>
      <c r="E50" s="12" t="s">
        <v>429</v>
      </c>
      <c r="F50" s="12" t="s">
        <v>430</v>
      </c>
      <c r="G50" s="12" t="s">
        <v>431</v>
      </c>
      <c r="H50" s="12" t="s">
        <v>432</v>
      </c>
      <c r="I50" s="12" t="s">
        <v>433</v>
      </c>
      <c r="J50" s="13" t="s">
        <v>56</v>
      </c>
      <c r="K50" s="12" t="s">
        <v>32</v>
      </c>
      <c r="L50" s="11" t="s">
        <v>434</v>
      </c>
      <c r="M50" s="12" t="s">
        <v>10</v>
      </c>
      <c r="N50" s="12" t="s">
        <v>8</v>
      </c>
      <c r="O50" s="12" t="s">
        <v>8</v>
      </c>
    </row>
    <row r="51" spans="1:15" x14ac:dyDescent="0.25">
      <c r="A51" s="14" t="s">
        <v>435</v>
      </c>
      <c r="B51" s="15" t="s">
        <v>24</v>
      </c>
      <c r="C51" s="15" t="s">
        <v>436</v>
      </c>
      <c r="D51" s="15" t="s">
        <v>437</v>
      </c>
      <c r="E51" s="15" t="s">
        <v>438</v>
      </c>
      <c r="F51" s="15" t="s">
        <v>439</v>
      </c>
      <c r="G51" s="15" t="s">
        <v>440</v>
      </c>
      <c r="H51" s="15" t="s">
        <v>441</v>
      </c>
      <c r="I51" s="15" t="s">
        <v>442</v>
      </c>
      <c r="J51" s="13" t="s">
        <v>56</v>
      </c>
      <c r="K51" s="15" t="s">
        <v>32</v>
      </c>
      <c r="L51" s="14" t="s">
        <v>434</v>
      </c>
      <c r="M51" s="15" t="s">
        <v>10</v>
      </c>
      <c r="N51" s="15" t="s">
        <v>8</v>
      </c>
      <c r="O51" s="15" t="s">
        <v>8</v>
      </c>
    </row>
    <row r="52" spans="1:15" x14ac:dyDescent="0.25">
      <c r="A52" s="11" t="s">
        <v>443</v>
      </c>
      <c r="B52" s="12" t="s">
        <v>24</v>
      </c>
      <c r="C52" s="12" t="s">
        <v>444</v>
      </c>
      <c r="D52" s="12" t="s">
        <v>445</v>
      </c>
      <c r="E52" s="12" t="s">
        <v>446</v>
      </c>
      <c r="F52" s="12" t="s">
        <v>447</v>
      </c>
      <c r="G52" s="12" t="s">
        <v>448</v>
      </c>
      <c r="H52" s="12" t="s">
        <v>449</v>
      </c>
      <c r="I52" s="12" t="s">
        <v>450</v>
      </c>
      <c r="J52" s="16" t="s">
        <v>82</v>
      </c>
      <c r="K52" s="12" t="s">
        <v>32</v>
      </c>
      <c r="L52" s="11" t="s">
        <v>434</v>
      </c>
      <c r="M52" s="12" t="s">
        <v>10</v>
      </c>
      <c r="N52" s="12" t="s">
        <v>8</v>
      </c>
      <c r="O52" s="12" t="s">
        <v>8</v>
      </c>
    </row>
    <row r="53" spans="1:15" x14ac:dyDescent="0.25">
      <c r="A53" s="14" t="s">
        <v>451</v>
      </c>
      <c r="B53" s="15" t="s">
        <v>24</v>
      </c>
      <c r="C53" s="15" t="s">
        <v>452</v>
      </c>
      <c r="D53" s="15" t="s">
        <v>453</v>
      </c>
      <c r="E53" s="15" t="s">
        <v>454</v>
      </c>
      <c r="F53" s="15" t="s">
        <v>455</v>
      </c>
      <c r="G53" s="15" t="s">
        <v>456</v>
      </c>
      <c r="H53" s="15" t="s">
        <v>457</v>
      </c>
      <c r="I53" s="15" t="s">
        <v>458</v>
      </c>
      <c r="J53" s="13" t="s">
        <v>56</v>
      </c>
      <c r="K53" s="15" t="s">
        <v>32</v>
      </c>
      <c r="L53" s="14" t="s">
        <v>434</v>
      </c>
      <c r="M53" s="15" t="s">
        <v>10</v>
      </c>
      <c r="N53" s="15" t="s">
        <v>8</v>
      </c>
      <c r="O53" s="15" t="s">
        <v>8</v>
      </c>
    </row>
    <row r="54" spans="1:15" x14ac:dyDescent="0.25">
      <c r="A54" s="11" t="s">
        <v>459</v>
      </c>
      <c r="B54" s="12" t="s">
        <v>24</v>
      </c>
      <c r="C54" s="12" t="s">
        <v>460</v>
      </c>
      <c r="D54" s="12" t="s">
        <v>461</v>
      </c>
      <c r="E54" s="12" t="s">
        <v>462</v>
      </c>
      <c r="F54" s="12" t="s">
        <v>463</v>
      </c>
      <c r="G54" s="12" t="s">
        <v>464</v>
      </c>
      <c r="H54" s="12" t="s">
        <v>465</v>
      </c>
      <c r="I54" s="12" t="s">
        <v>466</v>
      </c>
      <c r="J54" s="16" t="s">
        <v>82</v>
      </c>
      <c r="K54" s="12" t="s">
        <v>32</v>
      </c>
      <c r="L54" s="11" t="s">
        <v>467</v>
      </c>
      <c r="M54" s="12" t="s">
        <v>10</v>
      </c>
      <c r="N54" s="12" t="s">
        <v>8</v>
      </c>
      <c r="O54" s="12" t="s">
        <v>8</v>
      </c>
    </row>
    <row r="55" spans="1:15" x14ac:dyDescent="0.25">
      <c r="A55" s="14" t="s">
        <v>468</v>
      </c>
      <c r="B55" s="15" t="s">
        <v>24</v>
      </c>
      <c r="C55" s="15" t="s">
        <v>469</v>
      </c>
      <c r="D55" s="15" t="s">
        <v>470</v>
      </c>
      <c r="E55" s="15" t="s">
        <v>471</v>
      </c>
      <c r="F55" s="15" t="s">
        <v>472</v>
      </c>
      <c r="G55" s="15" t="s">
        <v>258</v>
      </c>
      <c r="H55" s="15" t="s">
        <v>473</v>
      </c>
      <c r="I55" s="15" t="s">
        <v>474</v>
      </c>
      <c r="J55" s="13" t="s">
        <v>56</v>
      </c>
      <c r="K55" s="15" t="s">
        <v>33</v>
      </c>
      <c r="L55" s="14" t="s">
        <v>467</v>
      </c>
      <c r="M55" s="15" t="s">
        <v>10</v>
      </c>
      <c r="N55" s="15" t="s">
        <v>8</v>
      </c>
      <c r="O55" s="15" t="s">
        <v>8</v>
      </c>
    </row>
    <row r="56" spans="1:15" x14ac:dyDescent="0.25">
      <c r="A56" s="11" t="s">
        <v>475</v>
      </c>
      <c r="B56" s="12" t="s">
        <v>25</v>
      </c>
      <c r="C56" s="12" t="s">
        <v>476</v>
      </c>
      <c r="D56" s="12" t="s">
        <v>477</v>
      </c>
      <c r="E56" s="12" t="s">
        <v>159</v>
      </c>
      <c r="F56" s="12" t="s">
        <v>478</v>
      </c>
      <c r="G56" s="12" t="s">
        <v>479</v>
      </c>
      <c r="H56" s="12" t="s">
        <v>480</v>
      </c>
      <c r="I56" s="12" t="s">
        <v>481</v>
      </c>
      <c r="J56" s="16" t="s">
        <v>82</v>
      </c>
      <c r="K56" s="12" t="s">
        <v>33</v>
      </c>
      <c r="L56" s="11" t="s">
        <v>467</v>
      </c>
      <c r="M56" s="12" t="s">
        <v>10</v>
      </c>
      <c r="N56" s="12" t="s">
        <v>8</v>
      </c>
      <c r="O56" s="12" t="s">
        <v>8</v>
      </c>
    </row>
    <row r="57" spans="1:15" x14ac:dyDescent="0.25">
      <c r="A57" s="14" t="s">
        <v>482</v>
      </c>
      <c r="B57" s="15" t="s">
        <v>25</v>
      </c>
      <c r="C57" s="15" t="s">
        <v>483</v>
      </c>
      <c r="D57" s="15" t="s">
        <v>484</v>
      </c>
      <c r="E57" s="15" t="s">
        <v>485</v>
      </c>
      <c r="F57" s="15" t="s">
        <v>486</v>
      </c>
      <c r="G57" s="15" t="s">
        <v>487</v>
      </c>
      <c r="H57" s="15" t="s">
        <v>488</v>
      </c>
      <c r="I57" s="15" t="s">
        <v>489</v>
      </c>
      <c r="J57" s="17" t="s">
        <v>193</v>
      </c>
      <c r="K57" s="15" t="s">
        <v>33</v>
      </c>
      <c r="L57" s="14" t="s">
        <v>467</v>
      </c>
      <c r="M57" s="15" t="s">
        <v>10</v>
      </c>
      <c r="N57" s="15" t="s">
        <v>8</v>
      </c>
      <c r="O57" s="15" t="s">
        <v>8</v>
      </c>
    </row>
    <row r="58" spans="1:15" x14ac:dyDescent="0.25">
      <c r="A58" s="11" t="s">
        <v>490</v>
      </c>
      <c r="B58" s="12" t="s">
        <v>25</v>
      </c>
      <c r="C58" s="12" t="s">
        <v>491</v>
      </c>
      <c r="D58" s="12" t="s">
        <v>492</v>
      </c>
      <c r="E58" s="12" t="s">
        <v>493</v>
      </c>
      <c r="F58" s="12" t="s">
        <v>494</v>
      </c>
      <c r="G58" s="12" t="s">
        <v>495</v>
      </c>
      <c r="H58" s="12" t="s">
        <v>496</v>
      </c>
      <c r="I58" s="12" t="s">
        <v>497</v>
      </c>
      <c r="J58" s="16" t="s">
        <v>82</v>
      </c>
      <c r="K58" s="12" t="s">
        <v>33</v>
      </c>
      <c r="L58" s="11" t="s">
        <v>467</v>
      </c>
      <c r="M58" s="12" t="s">
        <v>10</v>
      </c>
      <c r="N58" s="12" t="s">
        <v>8</v>
      </c>
      <c r="O58" s="12" t="s">
        <v>8</v>
      </c>
    </row>
    <row r="59" spans="1:15" x14ac:dyDescent="0.25">
      <c r="A59" s="14" t="s">
        <v>498</v>
      </c>
      <c r="B59" s="15" t="s">
        <v>25</v>
      </c>
      <c r="C59" s="15" t="s">
        <v>499</v>
      </c>
      <c r="D59" s="15" t="s">
        <v>500</v>
      </c>
      <c r="E59" s="15" t="s">
        <v>501</v>
      </c>
      <c r="F59" s="15" t="s">
        <v>502</v>
      </c>
      <c r="G59" s="15" t="s">
        <v>503</v>
      </c>
      <c r="H59" s="15" t="s">
        <v>504</v>
      </c>
      <c r="I59" s="15" t="s">
        <v>505</v>
      </c>
      <c r="J59" s="17" t="s">
        <v>193</v>
      </c>
      <c r="K59" s="15" t="s">
        <v>33</v>
      </c>
      <c r="L59" s="14" t="s">
        <v>506</v>
      </c>
      <c r="M59" s="15" t="s">
        <v>10</v>
      </c>
      <c r="N59" s="15" t="s">
        <v>8</v>
      </c>
      <c r="O59" s="15" t="s">
        <v>8</v>
      </c>
    </row>
    <row r="60" spans="1:15" x14ac:dyDescent="0.25">
      <c r="A60" s="11" t="s">
        <v>507</v>
      </c>
      <c r="B60" s="12" t="s">
        <v>25</v>
      </c>
      <c r="C60" s="12" t="s">
        <v>508</v>
      </c>
      <c r="D60" s="12" t="s">
        <v>509</v>
      </c>
      <c r="E60" s="12" t="s">
        <v>493</v>
      </c>
      <c r="F60" s="12" t="s">
        <v>510</v>
      </c>
      <c r="G60" s="12" t="s">
        <v>511</v>
      </c>
      <c r="H60" s="12" t="s">
        <v>512</v>
      </c>
      <c r="I60" s="12" t="s">
        <v>513</v>
      </c>
      <c r="J60" s="16" t="s">
        <v>82</v>
      </c>
      <c r="K60" s="12" t="s">
        <v>33</v>
      </c>
      <c r="L60" s="11" t="s">
        <v>506</v>
      </c>
      <c r="M60" s="12" t="s">
        <v>10</v>
      </c>
      <c r="N60" s="12" t="s">
        <v>8</v>
      </c>
      <c r="O60" s="12" t="s">
        <v>8</v>
      </c>
    </row>
    <row r="61" spans="1:15" x14ac:dyDescent="0.25">
      <c r="A61" s="14" t="s">
        <v>514</v>
      </c>
      <c r="B61" s="15" t="s">
        <v>25</v>
      </c>
      <c r="C61" s="15" t="s">
        <v>515</v>
      </c>
      <c r="D61" s="15" t="s">
        <v>516</v>
      </c>
      <c r="E61" s="15" t="s">
        <v>517</v>
      </c>
      <c r="F61" s="15" t="s">
        <v>518</v>
      </c>
      <c r="G61" s="15" t="s">
        <v>519</v>
      </c>
      <c r="H61" s="15" t="s">
        <v>520</v>
      </c>
      <c r="I61" s="15" t="s">
        <v>521</v>
      </c>
      <c r="J61" s="17" t="s">
        <v>193</v>
      </c>
      <c r="K61" s="15" t="s">
        <v>33</v>
      </c>
      <c r="L61" s="14" t="s">
        <v>506</v>
      </c>
      <c r="M61" s="15" t="s">
        <v>10</v>
      </c>
      <c r="N61" s="15" t="s">
        <v>8</v>
      </c>
      <c r="O61" s="15" t="s">
        <v>8</v>
      </c>
    </row>
    <row r="62" spans="1:15" x14ac:dyDescent="0.25">
      <c r="A62" s="11" t="s">
        <v>522</v>
      </c>
      <c r="B62" s="12" t="s">
        <v>25</v>
      </c>
      <c r="C62" s="12" t="s">
        <v>523</v>
      </c>
      <c r="D62" s="12" t="s">
        <v>524</v>
      </c>
      <c r="E62" s="12" t="s">
        <v>525</v>
      </c>
      <c r="F62" s="12" t="s">
        <v>526</v>
      </c>
      <c r="G62" s="12" t="s">
        <v>527</v>
      </c>
      <c r="H62" s="12" t="s">
        <v>528</v>
      </c>
      <c r="I62" s="12" t="s">
        <v>529</v>
      </c>
      <c r="J62" s="13" t="s">
        <v>56</v>
      </c>
      <c r="K62" s="12" t="s">
        <v>33</v>
      </c>
      <c r="L62" s="11" t="s">
        <v>506</v>
      </c>
      <c r="M62" s="12" t="s">
        <v>10</v>
      </c>
      <c r="N62" s="12" t="s">
        <v>8</v>
      </c>
      <c r="O62" s="12" t="s">
        <v>8</v>
      </c>
    </row>
    <row r="63" spans="1:15" x14ac:dyDescent="0.25">
      <c r="A63" s="14" t="s">
        <v>530</v>
      </c>
      <c r="B63" s="15" t="s">
        <v>26</v>
      </c>
      <c r="C63" s="15" t="s">
        <v>531</v>
      </c>
      <c r="D63" s="15" t="s">
        <v>532</v>
      </c>
      <c r="E63" s="15" t="s">
        <v>533</v>
      </c>
      <c r="F63" s="15" t="s">
        <v>534</v>
      </c>
      <c r="G63" s="15" t="s">
        <v>535</v>
      </c>
      <c r="H63" s="15" t="s">
        <v>536</v>
      </c>
      <c r="I63" s="15" t="s">
        <v>537</v>
      </c>
      <c r="J63" s="16" t="s">
        <v>82</v>
      </c>
      <c r="K63" s="15" t="s">
        <v>33</v>
      </c>
      <c r="L63" s="14" t="s">
        <v>538</v>
      </c>
      <c r="M63" s="15" t="s">
        <v>10</v>
      </c>
      <c r="N63" s="15" t="s">
        <v>8</v>
      </c>
      <c r="O63" s="15" t="s">
        <v>8</v>
      </c>
    </row>
    <row r="64" spans="1:15" x14ac:dyDescent="0.25">
      <c r="A64" s="11" t="s">
        <v>539</v>
      </c>
      <c r="B64" s="12" t="s">
        <v>26</v>
      </c>
      <c r="C64" s="12" t="s">
        <v>540</v>
      </c>
      <c r="D64" s="12" t="s">
        <v>541</v>
      </c>
      <c r="E64" s="12" t="s">
        <v>542</v>
      </c>
      <c r="F64" s="12" t="s">
        <v>543</v>
      </c>
      <c r="G64" s="12" t="s">
        <v>464</v>
      </c>
      <c r="H64" s="12" t="s">
        <v>544</v>
      </c>
      <c r="I64" s="12" t="s">
        <v>545</v>
      </c>
      <c r="J64" s="13" t="s">
        <v>56</v>
      </c>
      <c r="K64" s="12" t="s">
        <v>33</v>
      </c>
      <c r="L64" s="11" t="s">
        <v>538</v>
      </c>
      <c r="M64" s="12" t="s">
        <v>10</v>
      </c>
      <c r="N64" s="12" t="s">
        <v>8</v>
      </c>
      <c r="O64" s="12" t="s">
        <v>8</v>
      </c>
    </row>
    <row r="65" spans="1:15" x14ac:dyDescent="0.25">
      <c r="A65" s="14" t="s">
        <v>546</v>
      </c>
      <c r="B65" s="15" t="s">
        <v>26</v>
      </c>
      <c r="C65" s="15" t="s">
        <v>547</v>
      </c>
      <c r="D65" s="15" t="s">
        <v>548</v>
      </c>
      <c r="E65" s="15" t="s">
        <v>549</v>
      </c>
      <c r="F65" s="15" t="s">
        <v>550</v>
      </c>
      <c r="G65" s="15" t="s">
        <v>551</v>
      </c>
      <c r="H65" s="15" t="s">
        <v>552</v>
      </c>
      <c r="I65" s="15" t="s">
        <v>553</v>
      </c>
      <c r="J65" s="16" t="s">
        <v>82</v>
      </c>
      <c r="K65" s="15" t="s">
        <v>33</v>
      </c>
      <c r="L65" s="14" t="s">
        <v>538</v>
      </c>
      <c r="M65" s="15" t="s">
        <v>10</v>
      </c>
      <c r="N65" s="15" t="s">
        <v>8</v>
      </c>
      <c r="O65" s="15" t="s">
        <v>8</v>
      </c>
    </row>
    <row r="66" spans="1:15" x14ac:dyDescent="0.25">
      <c r="A66" s="11" t="s">
        <v>554</v>
      </c>
      <c r="B66" s="12" t="s">
        <v>26</v>
      </c>
      <c r="C66" s="12" t="s">
        <v>555</v>
      </c>
      <c r="D66" s="12" t="s">
        <v>556</v>
      </c>
      <c r="E66" s="12" t="s">
        <v>557</v>
      </c>
      <c r="F66" s="12" t="s">
        <v>558</v>
      </c>
      <c r="G66" s="12" t="s">
        <v>559</v>
      </c>
      <c r="H66" s="12" t="s">
        <v>560</v>
      </c>
      <c r="I66" s="12" t="s">
        <v>561</v>
      </c>
      <c r="J66" s="17" t="s">
        <v>193</v>
      </c>
      <c r="K66" s="12" t="s">
        <v>33</v>
      </c>
      <c r="L66" s="11" t="s">
        <v>538</v>
      </c>
      <c r="M66" s="12" t="s">
        <v>10</v>
      </c>
      <c r="N66" s="12" t="s">
        <v>8</v>
      </c>
      <c r="O66" s="12" t="s">
        <v>8</v>
      </c>
    </row>
    <row r="67" spans="1:15" x14ac:dyDescent="0.25">
      <c r="A67" s="14" t="s">
        <v>562</v>
      </c>
      <c r="B67" s="15" t="s">
        <v>26</v>
      </c>
      <c r="C67" s="15" t="s">
        <v>563</v>
      </c>
      <c r="D67" s="15" t="s">
        <v>564</v>
      </c>
      <c r="E67" s="15" t="s">
        <v>565</v>
      </c>
      <c r="F67" s="15" t="s">
        <v>566</v>
      </c>
      <c r="G67" s="15" t="s">
        <v>464</v>
      </c>
      <c r="H67" s="15" t="s">
        <v>567</v>
      </c>
      <c r="I67" s="15" t="s">
        <v>568</v>
      </c>
      <c r="J67" s="16" t="s">
        <v>82</v>
      </c>
      <c r="K67" s="15" t="s">
        <v>33</v>
      </c>
      <c r="L67" s="14" t="s">
        <v>538</v>
      </c>
      <c r="M67" s="15" t="s">
        <v>10</v>
      </c>
      <c r="N67" s="15" t="s">
        <v>8</v>
      </c>
      <c r="O67" s="15" t="s">
        <v>8</v>
      </c>
    </row>
    <row r="68" spans="1:15" x14ac:dyDescent="0.25">
      <c r="A68" s="11" t="s">
        <v>569</v>
      </c>
      <c r="B68" s="12" t="s">
        <v>27</v>
      </c>
      <c r="C68" s="12" t="s">
        <v>570</v>
      </c>
      <c r="D68" s="12" t="s">
        <v>571</v>
      </c>
      <c r="E68" s="12" t="s">
        <v>572</v>
      </c>
      <c r="F68" s="12" t="s">
        <v>573</v>
      </c>
      <c r="G68" s="12" t="s">
        <v>574</v>
      </c>
      <c r="H68" s="12" t="s">
        <v>575</v>
      </c>
      <c r="I68" s="12" t="s">
        <v>576</v>
      </c>
      <c r="J68" s="13" t="s">
        <v>56</v>
      </c>
      <c r="K68" s="12" t="s">
        <v>33</v>
      </c>
      <c r="L68" s="11" t="s">
        <v>98</v>
      </c>
      <c r="M68" s="12" t="s">
        <v>10</v>
      </c>
      <c r="N68" s="12" t="s">
        <v>8</v>
      </c>
      <c r="O68" s="12" t="s">
        <v>8</v>
      </c>
    </row>
    <row r="69" spans="1:15" x14ac:dyDescent="0.25">
      <c r="A69" s="14" t="s">
        <v>577</v>
      </c>
      <c r="B69" s="15" t="s">
        <v>27</v>
      </c>
      <c r="C69" s="15" t="s">
        <v>578</v>
      </c>
      <c r="D69" s="15" t="s">
        <v>579</v>
      </c>
      <c r="E69" s="15" t="s">
        <v>580</v>
      </c>
      <c r="F69" s="15" t="s">
        <v>581</v>
      </c>
      <c r="G69" s="15" t="s">
        <v>582</v>
      </c>
      <c r="H69" s="15" t="s">
        <v>583</v>
      </c>
      <c r="I69" s="15" t="s">
        <v>584</v>
      </c>
      <c r="J69" s="13" t="s">
        <v>56</v>
      </c>
      <c r="K69" s="15" t="s">
        <v>33</v>
      </c>
      <c r="L69" s="14" t="s">
        <v>98</v>
      </c>
      <c r="M69" s="15" t="s">
        <v>10</v>
      </c>
      <c r="N69" s="15" t="s">
        <v>8</v>
      </c>
      <c r="O69" s="15" t="s">
        <v>8</v>
      </c>
    </row>
    <row r="70" spans="1:15" x14ac:dyDescent="0.25">
      <c r="A70" s="11" t="s">
        <v>585</v>
      </c>
      <c r="B70" s="12" t="s">
        <v>27</v>
      </c>
      <c r="C70" s="12" t="s">
        <v>586</v>
      </c>
      <c r="D70" s="12" t="s">
        <v>587</v>
      </c>
      <c r="E70" s="12" t="s">
        <v>588</v>
      </c>
      <c r="F70" s="12" t="s">
        <v>589</v>
      </c>
      <c r="G70" s="12" t="s">
        <v>590</v>
      </c>
      <c r="H70" s="12" t="s">
        <v>591</v>
      </c>
      <c r="I70" s="12" t="s">
        <v>592</v>
      </c>
      <c r="J70" s="13" t="s">
        <v>56</v>
      </c>
      <c r="K70" s="12" t="s">
        <v>33</v>
      </c>
      <c r="L70" s="11" t="s">
        <v>131</v>
      </c>
      <c r="M70" s="12" t="s">
        <v>10</v>
      </c>
      <c r="N70" s="12" t="s">
        <v>8</v>
      </c>
      <c r="O70" s="12" t="s">
        <v>8</v>
      </c>
    </row>
    <row r="71" spans="1:15" x14ac:dyDescent="0.25">
      <c r="A71" s="14" t="s">
        <v>593</v>
      </c>
      <c r="B71" s="15" t="s">
        <v>27</v>
      </c>
      <c r="C71" s="15" t="s">
        <v>594</v>
      </c>
      <c r="D71" s="15" t="s">
        <v>595</v>
      </c>
      <c r="E71" s="15" t="s">
        <v>596</v>
      </c>
      <c r="F71" s="15" t="s">
        <v>597</v>
      </c>
      <c r="G71" s="15" t="s">
        <v>598</v>
      </c>
      <c r="H71" s="15" t="s">
        <v>599</v>
      </c>
      <c r="I71" s="15" t="s">
        <v>600</v>
      </c>
      <c r="J71" s="16" t="s">
        <v>82</v>
      </c>
      <c r="K71" s="15" t="s">
        <v>33</v>
      </c>
      <c r="L71" s="14" t="s">
        <v>131</v>
      </c>
      <c r="M71" s="15" t="s">
        <v>10</v>
      </c>
      <c r="N71" s="15" t="s">
        <v>8</v>
      </c>
      <c r="O71" s="15" t="s">
        <v>8</v>
      </c>
    </row>
  </sheetData>
  <autoFilter ref="A1:O71"/>
  <dataValidations count="4">
    <dataValidation type="list" sqref="J10:J71">
      <formula1>"High,Medium,Low"</formula1>
    </dataValidation>
    <dataValidation type="list" sqref="J2:J71">
      <formula1>"High,Medium,Low"</formula1>
    </dataValidation>
    <dataValidation type="list" sqref="M10:M71">
      <formula1>"Not Started,In Progress,Passed,Failed,Blocked"</formula1>
    </dataValidation>
    <dataValidation type="list" sqref="M2:M71">
      <formula1>"Not Started,In Progress,Passed,Failed,Blocked"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6" customWidth="1"/>
    <col min="3" max="3" width="27" customWidth="1"/>
    <col min="4" max="4" width="20" customWidth="1"/>
    <col min="5" max="5" width="16" customWidth="1"/>
    <col min="6" max="6" width="46" customWidth="1"/>
  </cols>
  <sheetData>
    <row r="1" ht="24" customHeight="1" spans="1:6" x14ac:dyDescent="0.25">
      <c r="A1" s="6" t="s">
        <v>601</v>
      </c>
      <c r="B1" s="6" t="s">
        <v>602</v>
      </c>
      <c r="C1" s="6" t="s">
        <v>603</v>
      </c>
      <c r="D1" s="6" t="s">
        <v>604</v>
      </c>
      <c r="E1" s="6" t="s">
        <v>605</v>
      </c>
      <c r="F1" s="6" t="s">
        <v>606</v>
      </c>
    </row>
    <row r="2" spans="1:6" x14ac:dyDescent="0.25">
      <c r="A2" s="18" t="s">
        <v>120</v>
      </c>
      <c r="B2" s="18" t="s">
        <v>607</v>
      </c>
      <c r="C2" s="18" t="s">
        <v>608</v>
      </c>
      <c r="D2" s="18" t="s">
        <v>609</v>
      </c>
      <c r="E2" s="18" t="s">
        <v>610</v>
      </c>
      <c r="F2" s="18" t="s">
        <v>611</v>
      </c>
    </row>
    <row r="3" spans="1:6" x14ac:dyDescent="0.25">
      <c r="A3" s="19" t="s">
        <v>63</v>
      </c>
      <c r="B3" s="19" t="s">
        <v>612</v>
      </c>
      <c r="C3" s="19" t="s">
        <v>613</v>
      </c>
      <c r="D3" s="19" t="s">
        <v>614</v>
      </c>
      <c r="E3" s="19" t="s">
        <v>610</v>
      </c>
      <c r="F3" s="19" t="s">
        <v>615</v>
      </c>
    </row>
    <row r="4" spans="1:6" x14ac:dyDescent="0.25">
      <c r="A4" s="18" t="s">
        <v>616</v>
      </c>
      <c r="B4" s="18" t="s">
        <v>617</v>
      </c>
      <c r="C4" s="18" t="s">
        <v>618</v>
      </c>
      <c r="D4" s="18" t="s">
        <v>619</v>
      </c>
      <c r="E4" s="18" t="s">
        <v>610</v>
      </c>
      <c r="F4" s="18" t="s">
        <v>620</v>
      </c>
    </row>
    <row r="5" spans="1:6" x14ac:dyDescent="0.25">
      <c r="A5" s="19" t="s">
        <v>53</v>
      </c>
      <c r="B5" s="19" t="s">
        <v>621</v>
      </c>
      <c r="C5" s="19" t="s">
        <v>622</v>
      </c>
      <c r="D5" s="19" t="s">
        <v>623</v>
      </c>
      <c r="E5" s="19" t="s">
        <v>610</v>
      </c>
      <c r="F5" s="19" t="s">
        <v>624</v>
      </c>
    </row>
    <row r="6" spans="1:6" x14ac:dyDescent="0.25">
      <c r="A6" s="18" t="s">
        <v>153</v>
      </c>
      <c r="B6" s="18" t="s">
        <v>621</v>
      </c>
      <c r="C6" s="18" t="s">
        <v>625</v>
      </c>
      <c r="D6" s="18" t="s">
        <v>623</v>
      </c>
      <c r="E6" s="18" t="s">
        <v>626</v>
      </c>
      <c r="F6" s="18" t="s">
        <v>627</v>
      </c>
    </row>
    <row r="7" spans="1:6" x14ac:dyDescent="0.25">
      <c r="A7" s="19" t="s">
        <v>71</v>
      </c>
      <c r="B7" s="19" t="s">
        <v>621</v>
      </c>
      <c r="C7" s="19" t="s">
        <v>622</v>
      </c>
      <c r="D7" s="19" t="s">
        <v>628</v>
      </c>
      <c r="E7" s="19" t="s">
        <v>610</v>
      </c>
      <c r="F7" s="19" t="s">
        <v>629</v>
      </c>
    </row>
    <row r="8" spans="1:6" x14ac:dyDescent="0.25">
      <c r="A8" s="18" t="s">
        <v>79</v>
      </c>
      <c r="B8" s="18" t="s">
        <v>630</v>
      </c>
      <c r="C8" s="18" t="s">
        <v>631</v>
      </c>
      <c r="D8" s="18" t="s">
        <v>623</v>
      </c>
      <c r="E8" s="18" t="s">
        <v>632</v>
      </c>
      <c r="F8" s="18" t="s">
        <v>633</v>
      </c>
    </row>
    <row r="9" spans="1:6" x14ac:dyDescent="0.25">
      <c r="A9" s="19" t="s">
        <v>104</v>
      </c>
      <c r="B9" s="19" t="s">
        <v>634</v>
      </c>
      <c r="C9" s="19" t="s">
        <v>635</v>
      </c>
      <c r="D9" s="19" t="s">
        <v>636</v>
      </c>
      <c r="E9" s="19" t="s">
        <v>610</v>
      </c>
      <c r="F9" s="19" t="s">
        <v>637</v>
      </c>
    </row>
    <row r="10" spans="1:6" x14ac:dyDescent="0.25">
      <c r="A10" s="18" t="s">
        <v>598</v>
      </c>
      <c r="B10" s="18" t="s">
        <v>638</v>
      </c>
      <c r="C10" s="18" t="s">
        <v>639</v>
      </c>
      <c r="D10" s="18" t="s">
        <v>640</v>
      </c>
      <c r="E10" s="18" t="s">
        <v>641</v>
      </c>
      <c r="F10" s="18" t="s">
        <v>642</v>
      </c>
    </row>
    <row r="11" spans="1:6" x14ac:dyDescent="0.25">
      <c r="A11" s="19" t="s">
        <v>95</v>
      </c>
      <c r="B11" s="19" t="s">
        <v>643</v>
      </c>
      <c r="C11" s="19" t="s">
        <v>622</v>
      </c>
      <c r="D11" s="19" t="s">
        <v>644</v>
      </c>
      <c r="E11" s="19" t="s">
        <v>610</v>
      </c>
      <c r="F11" s="19" t="s">
        <v>645</v>
      </c>
    </row>
    <row r="12" spans="1:6" x14ac:dyDescent="0.25">
      <c r="A12" s="18" t="s">
        <v>112</v>
      </c>
      <c r="B12" s="18" t="s">
        <v>646</v>
      </c>
      <c r="C12" s="18" t="s">
        <v>647</v>
      </c>
      <c r="D12" s="18" t="s">
        <v>648</v>
      </c>
      <c r="E12" s="18" t="s">
        <v>641</v>
      </c>
      <c r="F12" s="18" t="s">
        <v>649</v>
      </c>
    </row>
  </sheetData>
  <autoFilter ref="A1:F1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21" customWidth="1"/>
    <col min="5" max="5" width="25" customWidth="1"/>
    <col min="6" max="6" width="12" customWidth="1"/>
    <col min="7" max="7" width="14" customWidth="1"/>
    <col min="8" max="8" width="15" customWidth="1"/>
    <col min="9" max="9" width="45" customWidth="1"/>
  </cols>
  <sheetData>
    <row r="1" ht="24" customHeight="1" spans="1:9" x14ac:dyDescent="0.25">
      <c r="A1" s="6" t="s">
        <v>601</v>
      </c>
      <c r="B1" s="6" t="s">
        <v>650</v>
      </c>
      <c r="C1" s="6" t="s">
        <v>651</v>
      </c>
      <c r="D1" s="6" t="s">
        <v>603</v>
      </c>
      <c r="E1" s="6" t="s">
        <v>652</v>
      </c>
      <c r="F1" s="6" t="s">
        <v>653</v>
      </c>
      <c r="G1" s="6" t="s">
        <v>654</v>
      </c>
      <c r="H1" s="6" t="s">
        <v>655</v>
      </c>
      <c r="I1" s="6" t="s">
        <v>656</v>
      </c>
    </row>
    <row r="2" spans="1:9" x14ac:dyDescent="0.25">
      <c r="A2" s="18" t="s">
        <v>657</v>
      </c>
      <c r="B2" s="18" t="s">
        <v>658</v>
      </c>
      <c r="C2" s="18" t="s">
        <v>659</v>
      </c>
      <c r="D2" s="18" t="s">
        <v>622</v>
      </c>
      <c r="E2" s="18" t="s">
        <v>660</v>
      </c>
      <c r="F2" s="18" t="s">
        <v>661</v>
      </c>
      <c r="G2" s="18" t="s">
        <v>662</v>
      </c>
      <c r="H2" s="18" t="s">
        <v>663</v>
      </c>
      <c r="I2" s="18" t="s">
        <v>664</v>
      </c>
    </row>
    <row r="3" spans="1:9" x14ac:dyDescent="0.25">
      <c r="A3" s="19" t="s">
        <v>665</v>
      </c>
      <c r="B3" s="19" t="s">
        <v>666</v>
      </c>
      <c r="C3" s="19" t="s">
        <v>667</v>
      </c>
      <c r="D3" s="19" t="s">
        <v>625</v>
      </c>
      <c r="E3" s="19" t="s">
        <v>660</v>
      </c>
      <c r="F3" s="19" t="s">
        <v>668</v>
      </c>
      <c r="G3" s="19" t="s">
        <v>669</v>
      </c>
      <c r="H3" s="19" t="s">
        <v>670</v>
      </c>
      <c r="I3" s="19" t="s">
        <v>671</v>
      </c>
    </row>
    <row r="4" spans="1:9" x14ac:dyDescent="0.25">
      <c r="A4" s="18" t="s">
        <v>672</v>
      </c>
      <c r="B4" s="18" t="s">
        <v>673</v>
      </c>
      <c r="C4" s="18" t="s">
        <v>674</v>
      </c>
      <c r="D4" s="18" t="s">
        <v>675</v>
      </c>
      <c r="E4" s="18" t="s">
        <v>676</v>
      </c>
      <c r="F4" s="18" t="s">
        <v>677</v>
      </c>
      <c r="G4" s="18" t="s">
        <v>678</v>
      </c>
      <c r="H4" s="18" t="s">
        <v>663</v>
      </c>
      <c r="I4" s="18" t="s">
        <v>679</v>
      </c>
    </row>
    <row r="5" spans="1:9" x14ac:dyDescent="0.25">
      <c r="A5" s="19" t="s">
        <v>680</v>
      </c>
      <c r="B5" s="19" t="s">
        <v>681</v>
      </c>
      <c r="C5" s="19" t="s">
        <v>682</v>
      </c>
      <c r="D5" s="19" t="s">
        <v>683</v>
      </c>
      <c r="E5" s="19" t="s">
        <v>684</v>
      </c>
      <c r="F5" s="19" t="s">
        <v>668</v>
      </c>
      <c r="G5" s="19" t="s">
        <v>685</v>
      </c>
      <c r="H5" s="19" t="s">
        <v>686</v>
      </c>
      <c r="I5" s="19" t="s">
        <v>687</v>
      </c>
    </row>
    <row r="6" spans="1:9" x14ac:dyDescent="0.25">
      <c r="A6" s="18" t="s">
        <v>688</v>
      </c>
      <c r="B6" s="18" t="s">
        <v>689</v>
      </c>
      <c r="C6" s="18" t="s">
        <v>690</v>
      </c>
      <c r="D6" s="18" t="s">
        <v>691</v>
      </c>
      <c r="E6" s="18" t="s">
        <v>660</v>
      </c>
      <c r="F6" s="18" t="s">
        <v>692</v>
      </c>
      <c r="G6" s="18" t="s">
        <v>693</v>
      </c>
      <c r="H6" s="18" t="s">
        <v>663</v>
      </c>
      <c r="I6" s="18" t="s">
        <v>694</v>
      </c>
    </row>
    <row r="7" spans="1:9" x14ac:dyDescent="0.25">
      <c r="A7" s="19" t="s">
        <v>695</v>
      </c>
      <c r="B7" s="19" t="s">
        <v>696</v>
      </c>
      <c r="C7" s="19" t="s">
        <v>697</v>
      </c>
      <c r="D7" s="19" t="s">
        <v>698</v>
      </c>
      <c r="E7" s="19" t="s">
        <v>676</v>
      </c>
      <c r="F7" s="19" t="s">
        <v>670</v>
      </c>
      <c r="G7" s="19" t="s">
        <v>699</v>
      </c>
      <c r="H7" s="19" t="s">
        <v>692</v>
      </c>
      <c r="I7" s="19" t="s">
        <v>700</v>
      </c>
    </row>
    <row r="8" spans="1:9" x14ac:dyDescent="0.25">
      <c r="A8" s="18" t="s">
        <v>701</v>
      </c>
      <c r="B8" s="18" t="s">
        <v>702</v>
      </c>
      <c r="C8" s="18" t="s">
        <v>703</v>
      </c>
      <c r="D8" s="18" t="s">
        <v>704</v>
      </c>
      <c r="E8" s="18" t="s">
        <v>705</v>
      </c>
      <c r="F8" s="18" t="s">
        <v>706</v>
      </c>
      <c r="G8" s="18" t="s">
        <v>707</v>
      </c>
      <c r="H8" s="18" t="s">
        <v>663</v>
      </c>
      <c r="I8" s="18" t="s">
        <v>708</v>
      </c>
    </row>
    <row r="9" spans="1:9" x14ac:dyDescent="0.25">
      <c r="A9" s="19" t="s">
        <v>709</v>
      </c>
      <c r="B9" s="19" t="s">
        <v>710</v>
      </c>
      <c r="C9" s="19" t="s">
        <v>711</v>
      </c>
      <c r="D9" s="19" t="s">
        <v>712</v>
      </c>
      <c r="E9" s="19" t="s">
        <v>660</v>
      </c>
      <c r="F9" s="19" t="s">
        <v>713</v>
      </c>
      <c r="G9" s="19" t="s">
        <v>714</v>
      </c>
      <c r="H9" s="19" t="s">
        <v>663</v>
      </c>
      <c r="I9" s="19" t="s">
        <v>715</v>
      </c>
    </row>
  </sheetData>
  <autoFilter ref="A1:I9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25" customWidth="1"/>
    <col min="4" max="4" width="12" customWidth="1"/>
    <col min="5" max="5" width="29" customWidth="1"/>
    <col min="6" max="9" width="12" customWidth="1"/>
    <col min="10" max="11" width="18" customWidth="1"/>
    <col min="12" max="12" width="12" customWidth="1"/>
  </cols>
  <sheetData>
    <row r="1" ht="24" customHeight="1" spans="1:12" x14ac:dyDescent="0.25">
      <c r="A1" s="6" t="s">
        <v>601</v>
      </c>
      <c r="B1" s="6" t="s">
        <v>716</v>
      </c>
      <c r="C1" s="6" t="s">
        <v>717</v>
      </c>
      <c r="D1" s="6" t="s">
        <v>718</v>
      </c>
      <c r="E1" s="6" t="s">
        <v>719</v>
      </c>
      <c r="F1" s="6" t="s">
        <v>720</v>
      </c>
      <c r="G1" s="6" t="s">
        <v>721</v>
      </c>
      <c r="H1" s="6" t="s">
        <v>722</v>
      </c>
      <c r="I1" s="6" t="s">
        <v>45</v>
      </c>
      <c r="J1" s="6" t="s">
        <v>723</v>
      </c>
      <c r="K1" s="6" t="s">
        <v>724</v>
      </c>
      <c r="L1" s="6" t="s">
        <v>725</v>
      </c>
    </row>
    <row r="2" spans="1:12" x14ac:dyDescent="0.25">
      <c r="A2" s="18" t="s">
        <v>258</v>
      </c>
      <c r="B2" s="18" t="s">
        <v>726</v>
      </c>
      <c r="C2" s="18" t="s">
        <v>660</v>
      </c>
      <c r="D2" s="18" t="s">
        <v>274</v>
      </c>
      <c r="E2" s="18" t="s">
        <v>727</v>
      </c>
      <c r="F2" s="18" t="s">
        <v>728</v>
      </c>
      <c r="G2" s="18" t="s">
        <v>729</v>
      </c>
      <c r="H2" s="18" t="s">
        <v>730</v>
      </c>
      <c r="I2" s="18" t="s">
        <v>610</v>
      </c>
      <c r="J2" s="18" t="s">
        <v>731</v>
      </c>
      <c r="K2" s="18" t="s">
        <v>732</v>
      </c>
      <c r="L2" s="18" t="s">
        <v>733</v>
      </c>
    </row>
    <row r="3" spans="1:12" x14ac:dyDescent="0.25">
      <c r="A3" s="19" t="s">
        <v>266</v>
      </c>
      <c r="B3" s="19" t="s">
        <v>734</v>
      </c>
      <c r="C3" s="19" t="s">
        <v>705</v>
      </c>
      <c r="D3" s="19" t="s">
        <v>735</v>
      </c>
      <c r="E3" s="19" t="s">
        <v>736</v>
      </c>
      <c r="F3" s="19" t="s">
        <v>737</v>
      </c>
      <c r="G3" s="19" t="s">
        <v>738</v>
      </c>
      <c r="H3" s="19" t="s">
        <v>699</v>
      </c>
      <c r="I3" s="19" t="s">
        <v>610</v>
      </c>
      <c r="J3" s="19" t="s">
        <v>739</v>
      </c>
      <c r="K3" s="19" t="s">
        <v>740</v>
      </c>
      <c r="L3" s="19" t="s">
        <v>741</v>
      </c>
    </row>
    <row r="4" spans="1:12" x14ac:dyDescent="0.25">
      <c r="A4" s="18" t="s">
        <v>296</v>
      </c>
      <c r="B4" s="18" t="s">
        <v>742</v>
      </c>
      <c r="C4" s="18" t="s">
        <v>684</v>
      </c>
      <c r="D4" s="18" t="s">
        <v>743</v>
      </c>
      <c r="E4" s="18" t="s">
        <v>744</v>
      </c>
      <c r="F4" s="18" t="s">
        <v>745</v>
      </c>
      <c r="G4" s="18" t="s">
        <v>669</v>
      </c>
      <c r="H4" s="18" t="s">
        <v>663</v>
      </c>
      <c r="I4" s="18" t="s">
        <v>746</v>
      </c>
      <c r="J4" s="18" t="s">
        <v>747</v>
      </c>
      <c r="K4" s="18" t="s">
        <v>748</v>
      </c>
      <c r="L4" s="18" t="s">
        <v>749</v>
      </c>
    </row>
    <row r="5" spans="1:12" x14ac:dyDescent="0.25">
      <c r="A5" s="19" t="s">
        <v>750</v>
      </c>
      <c r="B5" s="19" t="s">
        <v>726</v>
      </c>
      <c r="C5" s="19" t="s">
        <v>660</v>
      </c>
      <c r="D5" s="19" t="s">
        <v>751</v>
      </c>
      <c r="E5" s="19" t="s">
        <v>752</v>
      </c>
      <c r="F5" s="19" t="s">
        <v>728</v>
      </c>
      <c r="G5" s="19" t="s">
        <v>686</v>
      </c>
      <c r="H5" s="19" t="s">
        <v>686</v>
      </c>
      <c r="I5" s="19" t="s">
        <v>610</v>
      </c>
      <c r="J5" s="19" t="s">
        <v>753</v>
      </c>
      <c r="K5" s="19" t="s">
        <v>754</v>
      </c>
      <c r="L5" s="19" t="s">
        <v>755</v>
      </c>
    </row>
    <row r="6" spans="1:12" x14ac:dyDescent="0.25">
      <c r="A6" s="18" t="s">
        <v>756</v>
      </c>
      <c r="B6" s="18" t="s">
        <v>757</v>
      </c>
      <c r="C6" s="18" t="s">
        <v>676</v>
      </c>
      <c r="D6" s="18" t="s">
        <v>758</v>
      </c>
      <c r="E6" s="18" t="s">
        <v>759</v>
      </c>
      <c r="F6" s="18" t="s">
        <v>745</v>
      </c>
      <c r="G6" s="18" t="s">
        <v>714</v>
      </c>
      <c r="H6" s="18" t="s">
        <v>760</v>
      </c>
      <c r="I6" s="18" t="s">
        <v>761</v>
      </c>
      <c r="J6" s="18" t="s">
        <v>762</v>
      </c>
      <c r="K6" s="18" t="s">
        <v>763</v>
      </c>
      <c r="L6" s="18" t="s">
        <v>764</v>
      </c>
    </row>
    <row r="7" spans="1:12" x14ac:dyDescent="0.25">
      <c r="A7" s="19" t="s">
        <v>765</v>
      </c>
      <c r="B7" s="19" t="s">
        <v>726</v>
      </c>
      <c r="C7" s="19" t="s">
        <v>660</v>
      </c>
      <c r="D7" s="19" t="s">
        <v>766</v>
      </c>
      <c r="E7" s="19" t="s">
        <v>767</v>
      </c>
      <c r="F7" s="19" t="s">
        <v>737</v>
      </c>
      <c r="G7" s="19" t="s">
        <v>768</v>
      </c>
      <c r="H7" s="19" t="s">
        <v>769</v>
      </c>
      <c r="I7" s="19" t="s">
        <v>770</v>
      </c>
      <c r="J7" s="19" t="s">
        <v>771</v>
      </c>
      <c r="K7" s="19" t="s">
        <v>772</v>
      </c>
      <c r="L7" s="19" t="s">
        <v>773</v>
      </c>
    </row>
  </sheetData>
  <autoFilter ref="A1:L7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24" customWidth="1"/>
    <col min="4" max="4" width="25" customWidth="1"/>
    <col min="5" max="5" width="19" customWidth="1"/>
    <col min="6" max="6" width="21" customWidth="1"/>
    <col min="7" max="8" width="29" customWidth="1"/>
  </cols>
  <sheetData>
    <row r="1" ht="24" customHeight="1" spans="1:8" x14ac:dyDescent="0.25">
      <c r="A1" s="6" t="s">
        <v>601</v>
      </c>
      <c r="B1" s="6" t="s">
        <v>774</v>
      </c>
      <c r="C1" s="6" t="s">
        <v>775</v>
      </c>
      <c r="D1" s="6" t="s">
        <v>776</v>
      </c>
      <c r="E1" s="6" t="s">
        <v>45</v>
      </c>
      <c r="F1" s="6" t="s">
        <v>777</v>
      </c>
      <c r="G1" s="6" t="s">
        <v>778</v>
      </c>
      <c r="H1" s="6" t="s">
        <v>41</v>
      </c>
    </row>
    <row r="2" spans="1:8" x14ac:dyDescent="0.25">
      <c r="A2" s="18" t="s">
        <v>161</v>
      </c>
      <c r="B2" s="18" t="s">
        <v>779</v>
      </c>
      <c r="C2" s="18" t="s">
        <v>780</v>
      </c>
      <c r="D2" s="18" t="s">
        <v>660</v>
      </c>
      <c r="E2" s="18" t="s">
        <v>781</v>
      </c>
      <c r="F2" s="18" t="s">
        <v>613</v>
      </c>
      <c r="G2" s="18" t="s">
        <v>782</v>
      </c>
      <c r="H2" s="18" t="s">
        <v>783</v>
      </c>
    </row>
    <row r="3" spans="1:8" x14ac:dyDescent="0.25">
      <c r="A3" s="19" t="s">
        <v>168</v>
      </c>
      <c r="B3" s="19" t="s">
        <v>784</v>
      </c>
      <c r="C3" s="19" t="s">
        <v>785</v>
      </c>
      <c r="D3" s="19" t="s">
        <v>660</v>
      </c>
      <c r="E3" s="19" t="s">
        <v>770</v>
      </c>
      <c r="F3" s="19" t="s">
        <v>613</v>
      </c>
      <c r="G3" s="19" t="s">
        <v>786</v>
      </c>
      <c r="H3" s="19" t="s">
        <v>787</v>
      </c>
    </row>
    <row r="4" spans="1:8" x14ac:dyDescent="0.25">
      <c r="A4" s="18" t="s">
        <v>175</v>
      </c>
      <c r="B4" s="18" t="s">
        <v>788</v>
      </c>
      <c r="C4" s="18" t="s">
        <v>789</v>
      </c>
      <c r="D4" s="18" t="s">
        <v>660</v>
      </c>
      <c r="E4" s="18" t="s">
        <v>770</v>
      </c>
      <c r="F4" s="18" t="s">
        <v>613</v>
      </c>
      <c r="G4" s="18" t="s">
        <v>790</v>
      </c>
      <c r="H4" s="18" t="s">
        <v>787</v>
      </c>
    </row>
    <row r="5" spans="1:8" x14ac:dyDescent="0.25">
      <c r="A5" s="19" t="s">
        <v>182</v>
      </c>
      <c r="B5" s="19" t="s">
        <v>791</v>
      </c>
      <c r="C5" s="19" t="s">
        <v>792</v>
      </c>
      <c r="D5" s="19" t="s">
        <v>660</v>
      </c>
      <c r="E5" s="19" t="s">
        <v>770</v>
      </c>
      <c r="F5" s="19" t="s">
        <v>613</v>
      </c>
      <c r="G5" s="19" t="s">
        <v>793</v>
      </c>
      <c r="H5" s="19" t="s">
        <v>787</v>
      </c>
    </row>
    <row r="6" spans="1:8" x14ac:dyDescent="0.25">
      <c r="A6" s="18" t="s">
        <v>228</v>
      </c>
      <c r="B6" s="18" t="s">
        <v>794</v>
      </c>
      <c r="C6" s="18" t="s">
        <v>795</v>
      </c>
      <c r="D6" s="18" t="s">
        <v>705</v>
      </c>
      <c r="E6" s="18" t="s">
        <v>796</v>
      </c>
      <c r="F6" s="18" t="s">
        <v>613</v>
      </c>
      <c r="G6" s="18" t="s">
        <v>797</v>
      </c>
      <c r="H6" s="18" t="s">
        <v>798</v>
      </c>
    </row>
    <row r="7" spans="1:8" x14ac:dyDescent="0.25">
      <c r="A7" s="19" t="s">
        <v>190</v>
      </c>
      <c r="B7" s="19" t="s">
        <v>799</v>
      </c>
      <c r="C7" s="19" t="s">
        <v>800</v>
      </c>
      <c r="D7" s="19" t="s">
        <v>660</v>
      </c>
      <c r="E7" s="19" t="s">
        <v>781</v>
      </c>
      <c r="F7" s="19" t="s">
        <v>613</v>
      </c>
      <c r="G7" s="19" t="s">
        <v>801</v>
      </c>
      <c r="H7" s="19" t="s">
        <v>802</v>
      </c>
    </row>
    <row r="8" spans="1:8" x14ac:dyDescent="0.25">
      <c r="A8" s="18" t="s">
        <v>206</v>
      </c>
      <c r="B8" s="18" t="s">
        <v>803</v>
      </c>
      <c r="C8" s="18" t="s">
        <v>804</v>
      </c>
      <c r="D8" s="18" t="s">
        <v>676</v>
      </c>
      <c r="E8" s="18" t="s">
        <v>805</v>
      </c>
      <c r="F8" s="18" t="s">
        <v>613</v>
      </c>
      <c r="G8" s="18" t="s">
        <v>806</v>
      </c>
      <c r="H8" s="18" t="s">
        <v>807</v>
      </c>
    </row>
    <row r="9" spans="1:8" x14ac:dyDescent="0.25">
      <c r="A9" s="19" t="s">
        <v>220</v>
      </c>
      <c r="B9" s="19" t="s">
        <v>808</v>
      </c>
      <c r="C9" s="19" t="s">
        <v>809</v>
      </c>
      <c r="D9" s="19" t="s">
        <v>684</v>
      </c>
      <c r="E9" s="19" t="s">
        <v>781</v>
      </c>
      <c r="F9" s="19" t="s">
        <v>613</v>
      </c>
      <c r="G9" s="19" t="s">
        <v>810</v>
      </c>
      <c r="H9" s="19" t="s">
        <v>811</v>
      </c>
    </row>
  </sheetData>
  <autoFilter ref="A1:H9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3" customWidth="1"/>
    <col min="5" max="5" width="12" customWidth="1"/>
    <col min="6" max="6" width="14" customWidth="1"/>
    <col min="7" max="7" width="26" customWidth="1"/>
    <col min="8" max="8" width="32" customWidth="1"/>
  </cols>
  <sheetData>
    <row r="1" ht="24" customHeight="1" spans="1:8" x14ac:dyDescent="0.25">
      <c r="A1" s="6" t="s">
        <v>601</v>
      </c>
      <c r="B1" s="6" t="s">
        <v>650</v>
      </c>
      <c r="C1" s="6" t="s">
        <v>718</v>
      </c>
      <c r="D1" s="6" t="s">
        <v>812</v>
      </c>
      <c r="E1" s="6" t="s">
        <v>653</v>
      </c>
      <c r="F1" s="6" t="s">
        <v>654</v>
      </c>
      <c r="G1" s="6" t="s">
        <v>813</v>
      </c>
      <c r="H1" s="6" t="s">
        <v>41</v>
      </c>
    </row>
    <row r="2" spans="1:8" x14ac:dyDescent="0.25">
      <c r="A2" s="18" t="s">
        <v>304</v>
      </c>
      <c r="B2" s="18" t="s">
        <v>658</v>
      </c>
      <c r="C2" s="18" t="s">
        <v>274</v>
      </c>
      <c r="D2" s="18" t="s">
        <v>814</v>
      </c>
      <c r="E2" s="18" t="s">
        <v>661</v>
      </c>
      <c r="F2" s="18" t="s">
        <v>662</v>
      </c>
      <c r="G2" s="18" t="s">
        <v>815</v>
      </c>
      <c r="H2" s="18" t="s">
        <v>816</v>
      </c>
    </row>
    <row r="3" spans="1:8" x14ac:dyDescent="0.25">
      <c r="A3" s="19" t="s">
        <v>312</v>
      </c>
      <c r="B3" s="19" t="s">
        <v>658</v>
      </c>
      <c r="C3" s="19" t="s">
        <v>274</v>
      </c>
      <c r="D3" s="19" t="s">
        <v>814</v>
      </c>
      <c r="E3" s="19" t="s">
        <v>661</v>
      </c>
      <c r="F3" s="19" t="s">
        <v>662</v>
      </c>
      <c r="G3" s="19" t="s">
        <v>817</v>
      </c>
      <c r="H3" s="19" t="s">
        <v>818</v>
      </c>
    </row>
    <row r="4" spans="1:8" x14ac:dyDescent="0.25">
      <c r="A4" s="18" t="s">
        <v>320</v>
      </c>
      <c r="B4" s="18" t="s">
        <v>666</v>
      </c>
      <c r="C4" s="18" t="s">
        <v>751</v>
      </c>
      <c r="D4" s="18" t="s">
        <v>814</v>
      </c>
      <c r="E4" s="18" t="s">
        <v>668</v>
      </c>
      <c r="F4" s="18" t="s">
        <v>669</v>
      </c>
      <c r="G4" s="18" t="s">
        <v>819</v>
      </c>
      <c r="H4" s="18" t="s">
        <v>820</v>
      </c>
    </row>
    <row r="5" spans="1:8" x14ac:dyDescent="0.25">
      <c r="A5" s="19" t="s">
        <v>328</v>
      </c>
      <c r="B5" s="19" t="s">
        <v>673</v>
      </c>
      <c r="C5" s="19" t="s">
        <v>758</v>
      </c>
      <c r="D5" s="19" t="s">
        <v>821</v>
      </c>
      <c r="E5" s="19" t="s">
        <v>677</v>
      </c>
      <c r="F5" s="19" t="s">
        <v>678</v>
      </c>
      <c r="G5" s="19" t="s">
        <v>822</v>
      </c>
      <c r="H5" s="19" t="s">
        <v>823</v>
      </c>
    </row>
    <row r="6" spans="1:8" x14ac:dyDescent="0.25">
      <c r="A6" s="18" t="s">
        <v>336</v>
      </c>
      <c r="B6" s="18" t="s">
        <v>658</v>
      </c>
      <c r="C6" s="18" t="s">
        <v>274</v>
      </c>
      <c r="D6" s="18" t="s">
        <v>814</v>
      </c>
      <c r="E6" s="18" t="s">
        <v>661</v>
      </c>
      <c r="F6" s="18" t="s">
        <v>662</v>
      </c>
      <c r="G6" s="18" t="s">
        <v>332</v>
      </c>
      <c r="H6" s="18" t="s">
        <v>824</v>
      </c>
    </row>
    <row r="7" spans="1:8" x14ac:dyDescent="0.25">
      <c r="A7" s="19" t="s">
        <v>344</v>
      </c>
      <c r="B7" s="19" t="s">
        <v>666</v>
      </c>
      <c r="C7" s="19" t="s">
        <v>751</v>
      </c>
      <c r="D7" s="19" t="s">
        <v>814</v>
      </c>
      <c r="E7" s="19" t="s">
        <v>668</v>
      </c>
      <c r="F7" s="19" t="s">
        <v>669</v>
      </c>
      <c r="G7" s="19" t="s">
        <v>825</v>
      </c>
      <c r="H7" s="19" t="s">
        <v>826</v>
      </c>
    </row>
    <row r="8" spans="1:8" x14ac:dyDescent="0.25">
      <c r="A8" s="18" t="s">
        <v>352</v>
      </c>
      <c r="B8" s="18" t="s">
        <v>658</v>
      </c>
      <c r="C8" s="18" t="s">
        <v>827</v>
      </c>
      <c r="D8" s="18" t="s">
        <v>814</v>
      </c>
      <c r="E8" s="18" t="s">
        <v>661</v>
      </c>
      <c r="F8" s="18" t="s">
        <v>662</v>
      </c>
      <c r="G8" s="18" t="s">
        <v>828</v>
      </c>
      <c r="H8" s="18" t="s">
        <v>829</v>
      </c>
    </row>
    <row r="9" spans="1:8" x14ac:dyDescent="0.25">
      <c r="A9" s="19" t="s">
        <v>360</v>
      </c>
      <c r="B9" s="19" t="s">
        <v>658</v>
      </c>
      <c r="C9" s="19" t="s">
        <v>274</v>
      </c>
      <c r="D9" s="19" t="s">
        <v>814</v>
      </c>
      <c r="E9" s="19" t="s">
        <v>661</v>
      </c>
      <c r="F9" s="19" t="s">
        <v>662</v>
      </c>
      <c r="G9" s="19" t="s">
        <v>830</v>
      </c>
      <c r="H9" s="19" t="s">
        <v>831</v>
      </c>
    </row>
    <row r="10" spans="1:8" x14ac:dyDescent="0.25">
      <c r="A10" s="18" t="s">
        <v>368</v>
      </c>
      <c r="B10" s="18" t="s">
        <v>673</v>
      </c>
      <c r="C10" s="18" t="s">
        <v>274</v>
      </c>
      <c r="D10" s="18" t="s">
        <v>821</v>
      </c>
      <c r="E10" s="18" t="s">
        <v>677</v>
      </c>
      <c r="F10" s="18" t="s">
        <v>678</v>
      </c>
      <c r="G10" s="18" t="s">
        <v>832</v>
      </c>
      <c r="H10" s="18" t="s">
        <v>833</v>
      </c>
    </row>
    <row r="11" spans="1:8" x14ac:dyDescent="0.25">
      <c r="A11" s="19" t="s">
        <v>376</v>
      </c>
      <c r="B11" s="19" t="s">
        <v>681</v>
      </c>
      <c r="C11" s="19" t="s">
        <v>274</v>
      </c>
      <c r="D11" s="19" t="s">
        <v>834</v>
      </c>
      <c r="E11" s="19" t="s">
        <v>668</v>
      </c>
      <c r="F11" s="19" t="s">
        <v>685</v>
      </c>
      <c r="G11" s="19" t="s">
        <v>835</v>
      </c>
      <c r="H11" s="19" t="s">
        <v>836</v>
      </c>
    </row>
    <row r="12" spans="1:8" x14ac:dyDescent="0.25">
      <c r="A12" s="18" t="s">
        <v>391</v>
      </c>
      <c r="B12" s="18" t="s">
        <v>689</v>
      </c>
      <c r="C12" s="18" t="s">
        <v>274</v>
      </c>
      <c r="D12" s="18" t="s">
        <v>814</v>
      </c>
      <c r="E12" s="18" t="s">
        <v>692</v>
      </c>
      <c r="F12" s="18" t="s">
        <v>693</v>
      </c>
      <c r="G12" s="18" t="s">
        <v>837</v>
      </c>
      <c r="H12" s="18" t="s">
        <v>838</v>
      </c>
    </row>
    <row r="13" spans="1:8" x14ac:dyDescent="0.25">
      <c r="A13" s="19" t="s">
        <v>399</v>
      </c>
      <c r="B13" s="19" t="s">
        <v>702</v>
      </c>
      <c r="C13" s="19" t="s">
        <v>274</v>
      </c>
      <c r="D13" s="19" t="s">
        <v>821</v>
      </c>
      <c r="E13" s="19" t="s">
        <v>706</v>
      </c>
      <c r="F13" s="19" t="s">
        <v>707</v>
      </c>
      <c r="G13" s="19" t="s">
        <v>839</v>
      </c>
      <c r="H13" s="19" t="s">
        <v>840</v>
      </c>
    </row>
  </sheetData>
  <autoFilter ref="A1:H1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20" customWidth="1"/>
    <col min="5" max="5" width="12" customWidth="1"/>
    <col min="6" max="6" width="14" customWidth="1"/>
    <col min="7" max="7" width="21" customWidth="1"/>
    <col min="8" max="8" width="22" customWidth="1"/>
    <col min="9" max="9" width="19" customWidth="1"/>
    <col min="10" max="10" width="41" customWidth="1"/>
  </cols>
  <sheetData>
    <row r="1" ht="24" customHeight="1" spans="1:10" x14ac:dyDescent="0.25">
      <c r="A1" s="6" t="s">
        <v>601</v>
      </c>
      <c r="B1" s="6" t="s">
        <v>718</v>
      </c>
      <c r="C1" s="6" t="s">
        <v>650</v>
      </c>
      <c r="D1" s="6" t="s">
        <v>841</v>
      </c>
      <c r="E1" s="6" t="s">
        <v>842</v>
      </c>
      <c r="F1" s="6" t="s">
        <v>843</v>
      </c>
      <c r="G1" s="6" t="s">
        <v>844</v>
      </c>
      <c r="H1" s="6" t="s">
        <v>845</v>
      </c>
      <c r="I1" s="6" t="s">
        <v>846</v>
      </c>
      <c r="J1" s="6" t="s">
        <v>41</v>
      </c>
    </row>
    <row r="2" spans="1:10" x14ac:dyDescent="0.25">
      <c r="A2" s="18" t="s">
        <v>407</v>
      </c>
      <c r="B2" s="18" t="s">
        <v>274</v>
      </c>
      <c r="C2" s="18" t="s">
        <v>847</v>
      </c>
      <c r="D2" s="18" t="s">
        <v>848</v>
      </c>
      <c r="E2" s="18" t="s">
        <v>849</v>
      </c>
      <c r="F2" s="18" t="s">
        <v>610</v>
      </c>
      <c r="G2" s="18" t="s">
        <v>850</v>
      </c>
      <c r="H2" s="18" t="s">
        <v>851</v>
      </c>
      <c r="I2" s="18" t="s">
        <v>847</v>
      </c>
      <c r="J2" s="18" t="s">
        <v>852</v>
      </c>
    </row>
    <row r="3" spans="1:10" x14ac:dyDescent="0.25">
      <c r="A3" s="19" t="s">
        <v>415</v>
      </c>
      <c r="B3" s="19" t="s">
        <v>274</v>
      </c>
      <c r="C3" s="19" t="s">
        <v>658</v>
      </c>
      <c r="D3" s="19" t="s">
        <v>853</v>
      </c>
      <c r="E3" s="19" t="s">
        <v>849</v>
      </c>
      <c r="F3" s="19" t="s">
        <v>854</v>
      </c>
      <c r="G3" s="19" t="s">
        <v>850</v>
      </c>
      <c r="H3" s="19" t="s">
        <v>851</v>
      </c>
      <c r="I3" s="19" t="s">
        <v>855</v>
      </c>
      <c r="J3" s="19" t="s">
        <v>856</v>
      </c>
    </row>
    <row r="4" spans="1:10" x14ac:dyDescent="0.25">
      <c r="A4" s="18" t="s">
        <v>423</v>
      </c>
      <c r="B4" s="18" t="s">
        <v>274</v>
      </c>
      <c r="C4" s="18" t="s">
        <v>847</v>
      </c>
      <c r="D4" s="18" t="s">
        <v>857</v>
      </c>
      <c r="E4" s="18" t="s">
        <v>849</v>
      </c>
      <c r="F4" s="18" t="s">
        <v>610</v>
      </c>
      <c r="G4" s="18" t="s">
        <v>851</v>
      </c>
      <c r="H4" s="18" t="s">
        <v>858</v>
      </c>
      <c r="I4" s="18" t="s">
        <v>847</v>
      </c>
      <c r="J4" s="18" t="s">
        <v>859</v>
      </c>
    </row>
    <row r="5" spans="1:10" x14ac:dyDescent="0.25">
      <c r="A5" s="19" t="s">
        <v>431</v>
      </c>
      <c r="B5" s="19" t="s">
        <v>274</v>
      </c>
      <c r="C5" s="19" t="s">
        <v>658</v>
      </c>
      <c r="D5" s="19" t="s">
        <v>857</v>
      </c>
      <c r="E5" s="19" t="s">
        <v>849</v>
      </c>
      <c r="F5" s="19" t="s">
        <v>610</v>
      </c>
      <c r="G5" s="19" t="s">
        <v>851</v>
      </c>
      <c r="H5" s="19" t="s">
        <v>858</v>
      </c>
      <c r="I5" s="19" t="s">
        <v>855</v>
      </c>
      <c r="J5" s="19" t="s">
        <v>860</v>
      </c>
    </row>
    <row r="6" spans="1:10" x14ac:dyDescent="0.25">
      <c r="A6" s="18" t="s">
        <v>440</v>
      </c>
      <c r="B6" s="18" t="s">
        <v>274</v>
      </c>
      <c r="C6" s="18" t="s">
        <v>658</v>
      </c>
      <c r="D6" s="18" t="s">
        <v>861</v>
      </c>
      <c r="E6" s="18" t="s">
        <v>849</v>
      </c>
      <c r="F6" s="18" t="s">
        <v>862</v>
      </c>
      <c r="G6" s="18" t="s">
        <v>847</v>
      </c>
      <c r="H6" s="18" t="s">
        <v>847</v>
      </c>
      <c r="I6" s="18" t="s">
        <v>855</v>
      </c>
      <c r="J6" s="18" t="s">
        <v>863</v>
      </c>
    </row>
    <row r="7" spans="1:10" x14ac:dyDescent="0.25">
      <c r="A7" s="19" t="s">
        <v>448</v>
      </c>
      <c r="B7" s="19" t="s">
        <v>274</v>
      </c>
      <c r="C7" s="19" t="s">
        <v>658</v>
      </c>
      <c r="D7" s="19" t="s">
        <v>857</v>
      </c>
      <c r="E7" s="19" t="s">
        <v>849</v>
      </c>
      <c r="F7" s="19" t="s">
        <v>610</v>
      </c>
      <c r="G7" s="19" t="s">
        <v>851</v>
      </c>
      <c r="H7" s="19" t="s">
        <v>858</v>
      </c>
      <c r="I7" s="19" t="s">
        <v>864</v>
      </c>
      <c r="J7" s="19" t="s">
        <v>865</v>
      </c>
    </row>
    <row r="8" spans="1:10" x14ac:dyDescent="0.25">
      <c r="A8" s="18" t="s">
        <v>456</v>
      </c>
      <c r="B8" s="18" t="s">
        <v>274</v>
      </c>
      <c r="C8" s="18" t="s">
        <v>710</v>
      </c>
      <c r="D8" s="18" t="s">
        <v>866</v>
      </c>
      <c r="E8" s="18" t="s">
        <v>849</v>
      </c>
      <c r="F8" s="18" t="s">
        <v>847</v>
      </c>
      <c r="G8" s="18" t="s">
        <v>847</v>
      </c>
      <c r="H8" s="18" t="s">
        <v>847</v>
      </c>
      <c r="I8" s="18" t="s">
        <v>855</v>
      </c>
      <c r="J8" s="18" t="s">
        <v>867</v>
      </c>
    </row>
  </sheetData>
  <autoFilter ref="A1:J8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2" customWidth="1"/>
    <col min="3" max="3" width="21" customWidth="1"/>
    <col min="4" max="4" width="33" customWidth="1"/>
    <col min="5" max="5" width="40" customWidth="1"/>
    <col min="6" max="6" width="16" customWidth="1"/>
    <col min="7" max="7" width="18" customWidth="1"/>
    <col min="8" max="8" width="40" customWidth="1"/>
  </cols>
  <sheetData>
    <row r="1" ht="24" customHeight="1" spans="1:8" x14ac:dyDescent="0.25">
      <c r="A1" s="6" t="s">
        <v>601</v>
      </c>
      <c r="B1" s="6" t="s">
        <v>718</v>
      </c>
      <c r="C1" s="6" t="s">
        <v>868</v>
      </c>
      <c r="D1" s="6" t="s">
        <v>869</v>
      </c>
      <c r="E1" s="6" t="s">
        <v>870</v>
      </c>
      <c r="F1" s="6" t="s">
        <v>871</v>
      </c>
      <c r="G1" s="6" t="s">
        <v>872</v>
      </c>
      <c r="H1" s="6" t="s">
        <v>41</v>
      </c>
    </row>
    <row r="2" spans="1:8" x14ac:dyDescent="0.25">
      <c r="A2" s="18" t="s">
        <v>479</v>
      </c>
      <c r="B2" s="18" t="s">
        <v>274</v>
      </c>
      <c r="C2" s="18" t="s">
        <v>873</v>
      </c>
      <c r="D2" s="18" t="s">
        <v>874</v>
      </c>
      <c r="E2" s="18" t="s">
        <v>875</v>
      </c>
      <c r="F2" s="18" t="s">
        <v>876</v>
      </c>
      <c r="G2" s="18" t="s">
        <v>876</v>
      </c>
      <c r="H2" s="18" t="s">
        <v>877</v>
      </c>
    </row>
    <row r="3" spans="1:8" x14ac:dyDescent="0.25">
      <c r="A3" s="19" t="s">
        <v>487</v>
      </c>
      <c r="B3" s="19" t="s">
        <v>274</v>
      </c>
      <c r="C3" s="19" t="s">
        <v>878</v>
      </c>
      <c r="D3" s="19" t="s">
        <v>879</v>
      </c>
      <c r="E3" s="19" t="s">
        <v>880</v>
      </c>
      <c r="F3" s="19" t="s">
        <v>847</v>
      </c>
      <c r="G3" s="19" t="s">
        <v>847</v>
      </c>
      <c r="H3" s="19" t="s">
        <v>881</v>
      </c>
    </row>
    <row r="4" spans="1:8" x14ac:dyDescent="0.25">
      <c r="A4" s="18" t="s">
        <v>495</v>
      </c>
      <c r="B4" s="18" t="s">
        <v>274</v>
      </c>
      <c r="C4" s="18" t="s">
        <v>882</v>
      </c>
      <c r="D4" s="18" t="s">
        <v>883</v>
      </c>
      <c r="E4" s="18" t="s">
        <v>884</v>
      </c>
      <c r="F4" s="18" t="s">
        <v>885</v>
      </c>
      <c r="G4" s="18" t="s">
        <v>885</v>
      </c>
      <c r="H4" s="18" t="s">
        <v>886</v>
      </c>
    </row>
    <row r="5" spans="1:8" x14ac:dyDescent="0.25">
      <c r="A5" s="19" t="s">
        <v>503</v>
      </c>
      <c r="B5" s="19" t="s">
        <v>274</v>
      </c>
      <c r="C5" s="19" t="s">
        <v>887</v>
      </c>
      <c r="D5" s="19" t="s">
        <v>504</v>
      </c>
      <c r="E5" s="19" t="s">
        <v>888</v>
      </c>
      <c r="F5" s="19" t="s">
        <v>847</v>
      </c>
      <c r="G5" s="19" t="s">
        <v>888</v>
      </c>
      <c r="H5" s="19" t="s">
        <v>889</v>
      </c>
    </row>
    <row r="6" spans="1:8" x14ac:dyDescent="0.25">
      <c r="A6" s="18" t="s">
        <v>511</v>
      </c>
      <c r="B6" s="18" t="s">
        <v>274</v>
      </c>
      <c r="C6" s="18" t="s">
        <v>890</v>
      </c>
      <c r="D6" s="18" t="s">
        <v>891</v>
      </c>
      <c r="E6" s="18" t="s">
        <v>892</v>
      </c>
      <c r="F6" s="18" t="s">
        <v>847</v>
      </c>
      <c r="G6" s="18" t="s">
        <v>893</v>
      </c>
      <c r="H6" s="18" t="s">
        <v>894</v>
      </c>
    </row>
    <row r="7" spans="1:8" x14ac:dyDescent="0.25">
      <c r="A7" s="19" t="s">
        <v>519</v>
      </c>
      <c r="B7" s="19" t="s">
        <v>274</v>
      </c>
      <c r="C7" s="19" t="s">
        <v>895</v>
      </c>
      <c r="D7" s="19" t="s">
        <v>896</v>
      </c>
      <c r="E7" s="19" t="s">
        <v>897</v>
      </c>
      <c r="F7" s="19" t="s">
        <v>847</v>
      </c>
      <c r="G7" s="19" t="s">
        <v>898</v>
      </c>
      <c r="H7" s="19" t="s">
        <v>899</v>
      </c>
    </row>
    <row r="8" spans="1:8" x14ac:dyDescent="0.25">
      <c r="A8" s="18" t="s">
        <v>527</v>
      </c>
      <c r="B8" s="18" t="s">
        <v>274</v>
      </c>
      <c r="C8" s="18" t="s">
        <v>900</v>
      </c>
      <c r="D8" s="18" t="s">
        <v>901</v>
      </c>
      <c r="E8" s="18" t="s">
        <v>902</v>
      </c>
      <c r="F8" s="18" t="s">
        <v>847</v>
      </c>
      <c r="G8" s="18" t="s">
        <v>903</v>
      </c>
      <c r="H8" s="18" t="s">
        <v>904</v>
      </c>
    </row>
  </sheetData>
  <autoFilter ref="A1:H8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5" customWidth="1"/>
    <col min="4" max="5" width="46" customWidth="1"/>
  </cols>
  <sheetData>
    <row r="1" ht="24" customHeight="1" spans="1:5" x14ac:dyDescent="0.25">
      <c r="A1" s="6" t="s">
        <v>601</v>
      </c>
      <c r="B1" s="6" t="s">
        <v>718</v>
      </c>
      <c r="C1" s="6" t="s">
        <v>905</v>
      </c>
      <c r="D1" s="6" t="s">
        <v>906</v>
      </c>
      <c r="E1" s="6" t="s">
        <v>907</v>
      </c>
    </row>
    <row r="2" spans="1:5" x14ac:dyDescent="0.25">
      <c r="A2" s="18" t="s">
        <v>535</v>
      </c>
      <c r="B2" s="18" t="s">
        <v>274</v>
      </c>
      <c r="C2" s="18" t="s">
        <v>531</v>
      </c>
      <c r="D2" s="18" t="s">
        <v>908</v>
      </c>
      <c r="E2" s="18" t="s">
        <v>909</v>
      </c>
    </row>
    <row r="3" spans="1:5" x14ac:dyDescent="0.25">
      <c r="A3" s="19" t="s">
        <v>464</v>
      </c>
      <c r="B3" s="19" t="s">
        <v>274</v>
      </c>
      <c r="C3" s="19" t="s">
        <v>910</v>
      </c>
      <c r="D3" s="19" t="s">
        <v>911</v>
      </c>
      <c r="E3" s="19" t="s">
        <v>912</v>
      </c>
    </row>
    <row r="4" spans="1:5" x14ac:dyDescent="0.25">
      <c r="A4" s="18" t="s">
        <v>551</v>
      </c>
      <c r="B4" s="18" t="s">
        <v>274</v>
      </c>
      <c r="C4" s="18" t="s">
        <v>913</v>
      </c>
      <c r="D4" s="18" t="s">
        <v>914</v>
      </c>
      <c r="E4" s="18" t="s">
        <v>915</v>
      </c>
    </row>
    <row r="5" spans="1:5" x14ac:dyDescent="0.25">
      <c r="A5" s="19" t="s">
        <v>559</v>
      </c>
      <c r="B5" s="19" t="s">
        <v>274</v>
      </c>
      <c r="C5" s="19" t="s">
        <v>916</v>
      </c>
      <c r="D5" s="19" t="s">
        <v>917</v>
      </c>
      <c r="E5" s="19" t="s">
        <v>918</v>
      </c>
    </row>
  </sheetData>
  <autoFilter ref="A1:E5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22" customWidth="1"/>
    <col min="4" max="4" width="44" customWidth="1"/>
    <col min="5" max="5" width="39" customWidth="1"/>
  </cols>
  <sheetData>
    <row r="1" ht="24" customHeight="1" spans="1:5" x14ac:dyDescent="0.25">
      <c r="A1" s="6" t="s">
        <v>601</v>
      </c>
      <c r="B1" s="6" t="s">
        <v>813</v>
      </c>
      <c r="C1" s="6" t="s">
        <v>919</v>
      </c>
      <c r="D1" s="6" t="s">
        <v>920</v>
      </c>
      <c r="E1" s="6" t="s">
        <v>41</v>
      </c>
    </row>
    <row r="2" spans="1:5" x14ac:dyDescent="0.25">
      <c r="A2" s="18" t="s">
        <v>574</v>
      </c>
      <c r="B2" s="18" t="s">
        <v>570</v>
      </c>
      <c r="C2" s="18" t="s">
        <v>921</v>
      </c>
      <c r="D2" s="18" t="s">
        <v>922</v>
      </c>
      <c r="E2" s="18" t="s">
        <v>923</v>
      </c>
    </row>
    <row r="3" spans="1:5" x14ac:dyDescent="0.25">
      <c r="A3" s="19" t="s">
        <v>249</v>
      </c>
      <c r="B3" s="19" t="s">
        <v>924</v>
      </c>
      <c r="C3" s="19" t="s">
        <v>621</v>
      </c>
      <c r="D3" s="19" t="s">
        <v>925</v>
      </c>
      <c r="E3" s="19" t="s">
        <v>926</v>
      </c>
    </row>
    <row r="4" spans="1:5" x14ac:dyDescent="0.25">
      <c r="A4" s="18" t="s">
        <v>582</v>
      </c>
      <c r="B4" s="18" t="s">
        <v>927</v>
      </c>
      <c r="C4" s="18" t="s">
        <v>928</v>
      </c>
      <c r="D4" s="18" t="s">
        <v>929</v>
      </c>
      <c r="E4" s="18" t="s">
        <v>926</v>
      </c>
    </row>
    <row r="5" spans="1:5" x14ac:dyDescent="0.25">
      <c r="A5" s="19" t="s">
        <v>590</v>
      </c>
      <c r="B5" s="19" t="s">
        <v>930</v>
      </c>
      <c r="C5" s="19" t="s">
        <v>921</v>
      </c>
      <c r="D5" s="19" t="s">
        <v>931</v>
      </c>
      <c r="E5" s="19" t="s">
        <v>932</v>
      </c>
    </row>
    <row r="6" spans="1:5" x14ac:dyDescent="0.25">
      <c r="A6" s="18" t="s">
        <v>933</v>
      </c>
      <c r="B6" s="18" t="s">
        <v>934</v>
      </c>
      <c r="C6" s="18" t="s">
        <v>621</v>
      </c>
      <c r="D6" s="18" t="s">
        <v>935</v>
      </c>
      <c r="E6" s="18" t="s">
        <v>936</v>
      </c>
    </row>
    <row r="7" spans="1:5" x14ac:dyDescent="0.25">
      <c r="A7" s="19" t="s">
        <v>937</v>
      </c>
      <c r="B7" s="19" t="s">
        <v>938</v>
      </c>
      <c r="C7" s="19" t="s">
        <v>939</v>
      </c>
      <c r="D7" s="19" t="s">
        <v>940</v>
      </c>
      <c r="E7" s="19" t="s">
        <v>941</v>
      </c>
    </row>
  </sheetData>
  <autoFilter ref="A1:E7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Test Cases</vt:lpstr>
      <vt:lpstr>Auth User Data</vt:lpstr>
      <vt:lpstr>Student Data</vt:lpstr>
      <vt:lpstr>Department Event Data</vt:lpstr>
      <vt:lpstr>Proposal Approval Data</vt:lpstr>
      <vt:lpstr>Registration RBL Data</vt:lpstr>
      <vt:lpstr>Attendance QR Data</vt:lpstr>
      <vt:lpstr>Quiz Feedback Data</vt:lpstr>
      <vt:lpstr>Dashboard Report Data</vt:lpstr>
      <vt:lpstr>Security Negative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AEMS QA</dc:creator>
  <dc:title/>
  <dc:subject/>
  <dc:description/>
  <cp:keywords/>
  <cp:category/>
  <cp:lastModifiedBy>Unknown</cp:lastModifiedBy>
  <dcterms:created xsi:type="dcterms:W3CDTF">2026-06-03T07:07:38Z</dcterms:created>
  <dcterms:modified xsi:type="dcterms:W3CDTF">2026-06-03T07:07:38Z</dcterms:modified>
</cp:coreProperties>
</file>