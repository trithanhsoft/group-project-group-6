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490145B-A237-4DB6-B89D-20CDDF479F39}" xr6:coauthVersionLast="47" xr6:coauthVersionMax="47" xr10:uidLastSave="{00000000-0000-0000-0000-000000000000}"/>
  <bookViews>
    <workbookView minimized="1" xWindow="1515" yWindow="1515" windowWidth="21600" windowHeight="11835" xr2:uid="{00000000-000D-0000-FFFF-FFFF00000000}"/>
  </bookViews>
  <sheets>
    <sheet name="Dashboard" sheetId="1" r:id="rId1"/>
    <sheet name="Test Cases" sheetId="2" r:id="rId2"/>
    <sheet name="Timeline" sheetId="3" r:id="rId3"/>
  </sheets>
  <definedNames>
    <definedName name="_xlnm._FilterDatabase" localSheetId="1" hidden="1">'Test Cases'!$A$1:$K$41</definedName>
    <definedName name="_xlnm._FilterDatabase" localSheetId="2" hidden="1">Timeline!$A$1:$G$41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4" i="1"/>
  <c r="G13" i="1"/>
  <c r="F13" i="1"/>
  <c r="E13" i="1"/>
  <c r="B13" i="1"/>
  <c r="G12" i="1"/>
  <c r="F12" i="1"/>
  <c r="E12" i="1"/>
  <c r="B12" i="1"/>
  <c r="G11" i="1"/>
  <c r="F11" i="1"/>
  <c r="E11" i="1"/>
  <c r="B11" i="1"/>
  <c r="B14" i="1" s="1"/>
</calcChain>
</file>

<file path=xl/sharedStrings.xml><?xml version="1.0" encoding="utf-8"?>
<sst xmlns="http://schemas.openxmlformats.org/spreadsheetml/2006/main" count="681" uniqueCount="292">
  <si>
    <t>AEMS TEST PLAN DASHBOARD</t>
  </si>
  <si>
    <t>Project</t>
  </si>
  <si>
    <t>Academic Event Management System (AEMS)</t>
  </si>
  <si>
    <t>Group</t>
  </si>
  <si>
    <t>SWR301_SE20A05_Group1</t>
  </si>
  <si>
    <t>Members</t>
  </si>
  <si>
    <t>DatHVT, AnhNVT, TuHNC, SangTM</t>
  </si>
  <si>
    <t>Duration</t>
  </si>
  <si>
    <t>10 Weeks</t>
  </si>
  <si>
    <t>How to use</t>
  </si>
  <si>
    <t>Ở cột Status, bấm mũi tên xổ xuống để chọn “Hoàn thành” hoặc “Chưa hoàn thành”. Dashboard sẽ tự đếm tiến độ.</t>
  </si>
  <si>
    <t>Summary by Status</t>
  </si>
  <si>
    <t>Summary by Member</t>
  </si>
  <si>
    <t>Total</t>
  </si>
  <si>
    <t>Done</t>
  </si>
  <si>
    <t>Not Done</t>
  </si>
  <si>
    <t>Total Test Cases</t>
  </si>
  <si>
    <t>DatHVT</t>
  </si>
  <si>
    <t>Completed</t>
  </si>
  <si>
    <t>AnhNVT</t>
  </si>
  <si>
    <t>Not Completed</t>
  </si>
  <si>
    <t>TuHNC</t>
  </si>
  <si>
    <t>Completion Rate</t>
  </si>
  <si>
    <t>SangTM</t>
  </si>
  <si>
    <t>Test ID</t>
  </si>
  <si>
    <t>Week</t>
  </si>
  <si>
    <t>Assigned To</t>
  </si>
  <si>
    <t>Module</t>
  </si>
  <si>
    <t>Test Case</t>
  </si>
  <si>
    <t>Pre-condition</t>
  </si>
  <si>
    <t>Test Steps</t>
  </si>
  <si>
    <t>Expected Result</t>
  </si>
  <si>
    <t>Priority</t>
  </si>
  <si>
    <t>Status</t>
  </si>
  <si>
    <t>Actual Result / Note</t>
  </si>
  <si>
    <t>TC01</t>
  </si>
  <si>
    <t>Tuần 1</t>
  </si>
  <si>
    <t>Authentication</t>
  </si>
  <si>
    <t>Đăng nhập bằng tài khoản hợp lệ</t>
  </si>
  <si>
    <t>Có tài khoản đang hoạt động</t>
  </si>
  <si>
    <t>1. Mở trang Login
2. Nhập email và mật khẩu đúng
3. Bấm Login</t>
  </si>
  <si>
    <t>Đăng nhập thành công và chuyển đúng dashboard</t>
  </si>
  <si>
    <t>High</t>
  </si>
  <si>
    <t>Chưa hoàn thành</t>
  </si>
  <si>
    <t>TC02</t>
  </si>
  <si>
    <t>Đăng nhập sai mật khẩu</t>
  </si>
  <si>
    <t>1. Mở Login
2. Nhập email đúng, mật khẩu sai
3. Bấm Login</t>
  </si>
  <si>
    <t>Hiển thị thông báo lỗi, không cho vào hệ thống</t>
  </si>
  <si>
    <t>TC03</t>
  </si>
  <si>
    <t>Event Proposal</t>
  </si>
  <si>
    <t>Tạo đề xuất sự kiện hợp lệ</t>
  </si>
  <si>
    <t>Đăng nhập vai trò Department</t>
  </si>
  <si>
    <t>1. Vào Create Proposal
2. Nhập đầy đủ thông tin sự kiện
3. Bấm Submit</t>
  </si>
  <si>
    <t>Đề xuất được lưu với trạng thái Pending</t>
  </si>
  <si>
    <t>TC04</t>
  </si>
  <si>
    <t>Registration</t>
  </si>
  <si>
    <t>Sinh viên đăng ký sự kiện còn slot</t>
  </si>
  <si>
    <t>Sự kiện đã publish và còn chỗ</t>
  </si>
  <si>
    <t>1. Student mở event detail
2. Bấm Register</t>
  </si>
  <si>
    <t>Đăng ký thành công và số slot còn lại giảm</t>
  </si>
  <si>
    <t>TC05</t>
  </si>
  <si>
    <t>Email</t>
  </si>
  <si>
    <t>Gửi email xác nhận đăng ký</t>
  </si>
  <si>
    <t>Sinh viên đăng ký thành công</t>
  </si>
  <si>
    <t>1. Đăng ký sự kiện
2. Kiểm tra email/smtp log</t>
  </si>
  <si>
    <t>Email xác nhận được gửi đúng người nhận</t>
  </si>
  <si>
    <t>Medium</t>
  </si>
  <si>
    <t>TC06</t>
  </si>
  <si>
    <t>Tuần 2</t>
  </si>
  <si>
    <t>Authorization</t>
  </si>
  <si>
    <t>Student không truy cập trang Admin</t>
  </si>
  <si>
    <t>Đăng nhập bằng Student</t>
  </si>
  <si>
    <t>1. Truy cập URL /admin
2. Quan sát kết quả</t>
  </si>
  <si>
    <t>Hệ thống chặn truy cập hoặc báo 403</t>
  </si>
  <si>
    <t>TC07</t>
  </si>
  <si>
    <t>Approval Workflow</t>
  </si>
  <si>
    <t>Committee duyệt đề xuất sự kiện</t>
  </si>
  <si>
    <t>Có proposal Pending</t>
  </si>
  <si>
    <t>1. Committee mở danh sách proposal
2. Bấm Approve</t>
  </si>
  <si>
    <t>Proposal chuyển sang Approved</t>
  </si>
  <si>
    <t>TC08</t>
  </si>
  <si>
    <t>RBL Priority</t>
  </si>
  <si>
    <t>Ưu tiên sinh viên đúng chuyên ngành</t>
  </si>
  <si>
    <t>Có nhiều sinh viên đăng ký cùng sự kiện</t>
  </si>
  <si>
    <t>1. Nhập dữ liệu major khác nhau
2. Chạy tính Priority Score</t>
  </si>
  <si>
    <t>Sinh viên đúng chuyên ngành có điểm ưu tiên cao hơn</t>
  </si>
  <si>
    <t>TC09</t>
  </si>
  <si>
    <t>Attendance</t>
  </si>
  <si>
    <t>Check-in bằng link hợp lệ</t>
  </si>
  <si>
    <t>Sinh viên đã đăng ký và có link check-in</t>
  </si>
  <si>
    <t>1. Mở link check-in
2. Nhập secret code đúng</t>
  </si>
  <si>
    <t>Điểm danh thành công</t>
  </si>
  <si>
    <t>TC10</t>
  </si>
  <si>
    <t>Tuần 3</t>
  </si>
  <si>
    <t>User Management</t>
  </si>
  <si>
    <t>Admin tạo tài khoản người dùng</t>
  </si>
  <si>
    <t>Đăng nhập Admin</t>
  </si>
  <si>
    <t>1. Vào User Management
2. Nhập thông tin user
3. Bấm Save</t>
  </si>
  <si>
    <t>Tài khoản được tạo thành công</t>
  </si>
  <si>
    <t>TC11</t>
  </si>
  <si>
    <t>Event Publishing</t>
  </si>
  <si>
    <t>Publish sự kiện đã được duyệt</t>
  </si>
  <si>
    <t>Proposal đã Approved</t>
  </si>
  <si>
    <t>1. Mở event approved
2. Bấm Publish</t>
  </si>
  <si>
    <t>Sự kiện hiển thị ở portal sinh viên</t>
  </si>
  <si>
    <t>TC12</t>
  </si>
  <si>
    <t>Waitlist</t>
  </si>
  <si>
    <t>Đăng ký khi sự kiện đã đầy</t>
  </si>
  <si>
    <t>Sự kiện đã đủ capacity</t>
  </si>
  <si>
    <t>1. Student đăng ký event full slot</t>
  </si>
  <si>
    <t>Sinh viên được đưa vào waitlist</t>
  </si>
  <si>
    <t>TC13</t>
  </si>
  <si>
    <t>Feedback</t>
  </si>
  <si>
    <t>Sinh viên gửi feedback sau sự kiện</t>
  </si>
  <si>
    <t>Sự kiện đã kết thúc, student đã tham gia</t>
  </si>
  <si>
    <t>1. Mở Feedback form
2. Nhập rating/comment
3. Submit</t>
  </si>
  <si>
    <t>Feedback được lưu thành công</t>
  </si>
  <si>
    <t>TC14</t>
  </si>
  <si>
    <t>Tuần 4</t>
  </si>
  <si>
    <t>Security</t>
  </si>
  <si>
    <t>Không cho submit form thiếu CSRF/token</t>
  </si>
  <si>
    <t>Form có bảo vệ security</t>
  </si>
  <si>
    <t>1. Submit request thiếu token
2. Quan sát hệ thống</t>
  </si>
  <si>
    <t>Request bị từ chối an toàn</t>
  </si>
  <si>
    <t>TC15</t>
  </si>
  <si>
    <t>Department Module</t>
  </si>
  <si>
    <t>Department chỉnh sửa proposal bị yêu cầu sửa</t>
  </si>
  <si>
    <t>Proposal ở trạng thái Revision Required</t>
  </si>
  <si>
    <t>1. Mở proposal
2. Cập nhật nội dung
3. Submit lại</t>
  </si>
  <si>
    <t>Proposal được gửi lại cho Committee</t>
  </si>
  <si>
    <t>TC16</t>
  </si>
  <si>
    <t>Capacity</t>
  </si>
  <si>
    <t>Capacity không vượt quá số lượng cho phép</t>
  </si>
  <si>
    <t>Event capacity = N</t>
  </si>
  <si>
    <t>1. Cho nhiều student đăng ký
2. Kiểm tra số confirmed</t>
  </si>
  <si>
    <t>Confirmed không vượt quá capacity</t>
  </si>
  <si>
    <t>TC17</t>
  </si>
  <si>
    <t>Report</t>
  </si>
  <si>
    <t>Xem thống kê số lượng đăng ký/tham gia</t>
  </si>
  <si>
    <t>Có dữ liệu event, registration, attendance</t>
  </si>
  <si>
    <t>1. Mở dashboard report</t>
  </si>
  <si>
    <t>Hiển thị đúng registration rate và attendance rate</t>
  </si>
  <si>
    <t>TC18</t>
  </si>
  <si>
    <t>Tuần 5</t>
  </si>
  <si>
    <t>Password</t>
  </si>
  <si>
    <t>Đổi mật khẩu hợp lệ</t>
  </si>
  <si>
    <t>User đã đăng nhập</t>
  </si>
  <si>
    <t>1. Vào Change Password
2. Nhập mật khẩu cũ và mới
3. Save</t>
  </si>
  <si>
    <t>Đổi mật khẩu thành công</t>
  </si>
  <si>
    <t>TC19</t>
  </si>
  <si>
    <t>Event Management</t>
  </si>
  <si>
    <t>Chỉnh sửa thông tin sự kiện</t>
  </si>
  <si>
    <t>Có event đã tạo</t>
  </si>
  <si>
    <t>1. Mở Edit Event
2. Sửa title/time/capacity
3. Save</t>
  </si>
  <si>
    <t>Thông tin sự kiện cập nhật chính xác</t>
  </si>
  <si>
    <t>TC20</t>
  </si>
  <si>
    <t>Registration Validation</t>
  </si>
  <si>
    <t>Không cho đăng ký trùng cùng sự kiện</t>
  </si>
  <si>
    <t>Student đã đăng ký event</t>
  </si>
  <si>
    <t>1. Student bấm Register lần 2</t>
  </si>
  <si>
    <t>Hệ thống báo đã đăng ký, không tạo bản ghi trùng</t>
  </si>
  <si>
    <t>TC21</t>
  </si>
  <si>
    <t>Feedback Management</t>
  </si>
  <si>
    <t>Admin xem danh sách feedback</t>
  </si>
  <si>
    <t>Có feedback đã gửi</t>
  </si>
  <si>
    <t>1. Admin mở Feedback Management</t>
  </si>
  <si>
    <t>Danh sách feedback hiển thị đầy đủ</t>
  </si>
  <si>
    <t>Low</t>
  </si>
  <si>
    <t>TC22</t>
  </si>
  <si>
    <t>Tuần 6</t>
  </si>
  <si>
    <t>Session</t>
  </si>
  <si>
    <t>Logout xóa session</t>
  </si>
  <si>
    <t>1. Bấm Logout
2. Quay lại trang protected</t>
  </si>
  <si>
    <t>Không truy cập được khi đã logout</t>
  </si>
  <si>
    <t>TC23</t>
  </si>
  <si>
    <t>Proposal Revision</t>
  </si>
  <si>
    <t>Committee yêu cầu chỉnh sửa proposal</t>
  </si>
  <si>
    <t>1. Committee chọn Request Revision
2. Nhập lý do
3. Submit</t>
  </si>
  <si>
    <t>Proposal chuyển trạng thái Revision Required</t>
  </si>
  <si>
    <t>TC24</t>
  </si>
  <si>
    <t>Semester Priority</t>
  </si>
  <si>
    <t>Ưu tiên sinh viên kỳ cuối</t>
  </si>
  <si>
    <t>Có student kỳ 2 và kỳ 8 cùng major</t>
  </si>
  <si>
    <t>1. Chạy tính điểm ưu tiên</t>
  </si>
  <si>
    <t>Student kỳ 8 có điểm S cao hơn</t>
  </si>
  <si>
    <t>TC25</t>
  </si>
  <si>
    <t>Notification</t>
  </si>
  <si>
    <t>Gửi thông báo khi proposal được duyệt</t>
  </si>
  <si>
    <t>Proposal được Approve</t>
  </si>
  <si>
    <t>1. Duyệt proposal
2. Kiểm tra notification/email</t>
  </si>
  <si>
    <t>Department nhận thông báo duyệt</t>
  </si>
  <si>
    <t>TC26</t>
  </si>
  <si>
    <t>Tuần 7</t>
  </si>
  <si>
    <t>Email sai định dạng khi đăng ký</t>
  </si>
  <si>
    <t>Mở form register</t>
  </si>
  <si>
    <t>1. Nhập email sai format
2. Submit</t>
  </si>
  <si>
    <t>Hệ thống báo lỗi email không hợp lệ</t>
  </si>
  <si>
    <t>TC27</t>
  </si>
  <si>
    <t>Search/Filter</t>
  </si>
  <si>
    <t>Tìm kiếm sự kiện theo department/topic</t>
  </si>
  <si>
    <t>Có nhiều events</t>
  </si>
  <si>
    <t>1. Nhập keyword/filter
2. Search</t>
  </si>
  <si>
    <t>Danh sách trả về đúng sự kiện phù hợp</t>
  </si>
  <si>
    <t>TC28</t>
  </si>
  <si>
    <t>Point Normalization</t>
  </si>
  <si>
    <t>Chuẩn hóa điểm tích lũy vượt 100</t>
  </si>
  <si>
    <t>Có điểm hoạt động &gt; 100</t>
  </si>
  <si>
    <t>1. Nhập StudentPoint và MaxPoint
2. Tính NormalizedPoint</t>
  </si>
  <si>
    <t>Điểm được đưa về thang 0-100</t>
  </si>
  <si>
    <t>TC29</t>
  </si>
  <si>
    <t>Analytics</t>
  </si>
  <si>
    <t>Dashboard hiển thị event popularity</t>
  </si>
  <si>
    <t>Có dữ liệu nhiều event</t>
  </si>
  <si>
    <t>1. Mở Analytics Dashboard</t>
  </si>
  <si>
    <t>Sự kiện phổ biến được sắp xếp đúng</t>
  </si>
  <si>
    <t>TC30</t>
  </si>
  <si>
    <t>Tuần 8</t>
  </si>
  <si>
    <t>Admin</t>
  </si>
  <si>
    <t>Admin khóa/mở tài khoản</t>
  </si>
  <si>
    <t>Có user trong hệ thống</t>
  </si>
  <si>
    <t>1. Admin chọn user
2. Lock/Unlock account</t>
  </si>
  <si>
    <t>Trạng thái tài khoản thay đổi đúng</t>
  </si>
  <si>
    <t>TC31</t>
  </si>
  <si>
    <t>Workflow Integration</t>
  </si>
  <si>
    <t>Luồng proposal đến publish hoàn chỉnh</t>
  </si>
  <si>
    <t>Department và Committee account sẵn sàng</t>
  </si>
  <si>
    <t>1. Create proposal
2. Approve
3. Publish</t>
  </si>
  <si>
    <t>Event xuất hiện cho Student đăng ký</t>
  </si>
  <si>
    <t>TC32</t>
  </si>
  <si>
    <t>Priority Score</t>
  </si>
  <si>
    <t>Tính Priority Score đúng công thức</t>
  </si>
  <si>
    <t>Có dữ liệu M,S,P,T</t>
  </si>
  <si>
    <t>1. Nhập M,S,P,T
2. Tính PriorityScore</t>
  </si>
  <si>
    <t>Kết quả đúng: 0.4M + 0.3S + 0.2P + 0.1T</t>
  </si>
  <si>
    <t>TC33</t>
  </si>
  <si>
    <t>Ticket</t>
  </si>
  <si>
    <t>Gửi vé tham gia sự kiện</t>
  </si>
  <si>
    <t>Student đăng ký thành công</t>
  </si>
  <si>
    <t>1. Đăng ký event
2. Kiểm tra ticket email</t>
  </si>
  <si>
    <t>Ticket có thông tin event và student chính xác</t>
  </si>
  <si>
    <t>TC34</t>
  </si>
  <si>
    <t>Tuần 9</t>
  </si>
  <si>
    <t>Regression</t>
  </si>
  <si>
    <t>Test lại login sau khi fix bug</t>
  </si>
  <si>
    <t>Đã fix lỗi liên quan auth</t>
  </si>
  <si>
    <t>1. Chạy lại TC01-TC03</t>
  </si>
  <si>
    <t>Các chức năng auth vẫn chạy đúng</t>
  </si>
  <si>
    <t>TC35</t>
  </si>
  <si>
    <t>UI</t>
  </si>
  <si>
    <t>Kiểm tra giao diện proposal/event</t>
  </si>
  <si>
    <t>Có giao diện hoàn chỉnh</t>
  </si>
  <si>
    <t>1. Mở các trang proposal/event
2. Kiểm tra layout</t>
  </si>
  <si>
    <t>Giao diện rõ ràng, không vỡ layout</t>
  </si>
  <si>
    <t>TC36</t>
  </si>
  <si>
    <t>Performance</t>
  </si>
  <si>
    <t>Đăng ký nhiều sinh viên cùng lúc</t>
  </si>
  <si>
    <t>Có nhiều tài khoản test</t>
  </si>
  <si>
    <t>1. Giả lập nhiều request đăng ký</t>
  </si>
  <si>
    <t>Hệ thống không vượt capacity và phản hồi ổn định</t>
  </si>
  <si>
    <t>TC37</t>
  </si>
  <si>
    <t>Report Export</t>
  </si>
  <si>
    <t>Xuất báo cáo thống kê</t>
  </si>
  <si>
    <t>Có dữ liệu thống kê</t>
  </si>
  <si>
    <t>1. Bấm Export report</t>
  </si>
  <si>
    <t>File báo cáo được tạo đúng dữ liệu</t>
  </si>
  <si>
    <t>TC38</t>
  </si>
  <si>
    <t>Tuần 10</t>
  </si>
  <si>
    <t>Integration</t>
  </si>
  <si>
    <t>Kiểm thử tích hợp phân quyền toàn hệ thống</t>
  </si>
  <si>
    <t>Có đủ role Admin/Department/Committee/Student</t>
  </si>
  <si>
    <t>1. Đăng nhập từng role
2. Truy cập các chức năng chính</t>
  </si>
  <si>
    <t>Mỗi role chỉ dùng được chức năng được phép</t>
  </si>
  <si>
    <t>TC39</t>
  </si>
  <si>
    <t>End-to-End</t>
  </si>
  <si>
    <t>Luồng tạo sự kiện đến hoàn tất feedback</t>
  </si>
  <si>
    <t>Có đủ dữ liệu test</t>
  </si>
  <si>
    <t>1. Tạo proposal
2. Duyệt
3. Publish
4. Register
5. Check-in
6. Feedback</t>
  </si>
  <si>
    <t>Toàn bộ quy trình chạy thành công</t>
  </si>
  <si>
    <t>TC40</t>
  </si>
  <si>
    <t>RBL End-to-End</t>
  </si>
  <si>
    <t>Luồng chọn sinh viên bằng RBL</t>
  </si>
  <si>
    <t>Có nhiều student với dữ liệu khác nhau</t>
  </si>
  <si>
    <t>1. Đăng ký event giới hạn slot
2. Chạy ưu tiên
3. Kiểm tra danh sách selected/waitlist</t>
  </si>
  <si>
    <t>Danh sách selected đúng theo Priority Score</t>
  </si>
  <si>
    <t>Member</t>
  </si>
  <si>
    <t>Main Task</t>
  </si>
  <si>
    <t>Deadline</t>
  </si>
  <si>
    <t>Related Test IDs</t>
  </si>
  <si>
    <t>Note</t>
  </si>
  <si>
    <t>Đăng nhập bằng tài khoản hợp lệ; Đăng nhập sai mật khẩu</t>
  </si>
  <si>
    <t>TC01, TC02</t>
  </si>
  <si>
    <t>Support integration /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</si>
</sst>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b/>
      <sz val="11"/>
      <color rgb="FFFFFFFF"/>
      <name val="Calibri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Test Cases by Member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Dashboard!$D$11:$D$14</c:f>
              <c:strCache>
                <c:ptCount val="4"/>
                <c:pt idx="0">
                  <c:v>DatHVT</c:v>
                </c:pt>
                <c:pt idx="1">
                  <c:v>AnhNVT</c:v>
                </c:pt>
                <c:pt idx="2">
                  <c:v>TuHNC</c:v>
                </c:pt>
                <c:pt idx="3">
                  <c:v>SangTM</c:v>
                </c:pt>
              </c:strCache>
            </c:strRef>
          </c:cat>
          <c:val>
            <c:numRef>
              <c:f>Dashboard!$E$11:$E$14</c:f>
              <c:numCache>
                <c:formatCode>General</c:formatCode>
                <c:ptCount val="4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9-4285-9E4C-32DC54560542}"/>
            </c:ext>
          </c:extLst>
        </c:ser>
        <c:ser>
          <c:idx val="1"/>
          <c:order val="1"/>
          <c:tx>
            <c:strRef>
              <c:f>Dashboard!$F$10</c:f>
              <c:strCache>
                <c:ptCount val="1"/>
                <c:pt idx="0">
                  <c:v>Done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Dashboard!$D$11:$D$14</c:f>
              <c:strCache>
                <c:ptCount val="4"/>
                <c:pt idx="0">
                  <c:v>DatHVT</c:v>
                </c:pt>
                <c:pt idx="1">
                  <c:v>AnhNVT</c:v>
                </c:pt>
                <c:pt idx="2">
                  <c:v>TuHNC</c:v>
                </c:pt>
                <c:pt idx="3">
                  <c:v>SangTM</c:v>
                </c:pt>
              </c:strCache>
            </c:strRef>
          </c:cat>
          <c:val>
            <c:numRef>
              <c:f>Dashboard!$F$11:$F$14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9-4285-9E4C-32DC54560542}"/>
            </c:ext>
          </c:extLst>
        </c:ser>
        <c:ser>
          <c:idx val="2"/>
          <c:order val="2"/>
          <c:tx>
            <c:strRef>
              <c:f>Dashboard!$G$10</c:f>
              <c:strCache>
                <c:ptCount val="1"/>
                <c:pt idx="0">
                  <c:v>Not Done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Dashboard!$D$11:$D$14</c:f>
              <c:strCache>
                <c:ptCount val="4"/>
                <c:pt idx="0">
                  <c:v>DatHVT</c:v>
                </c:pt>
                <c:pt idx="1">
                  <c:v>AnhNVT</c:v>
                </c:pt>
                <c:pt idx="2">
                  <c:v>TuHNC</c:v>
                </c:pt>
                <c:pt idx="3">
                  <c:v>SangTM</c:v>
                </c:pt>
              </c:strCache>
            </c:strRef>
          </c:cat>
          <c:val>
            <c:numRef>
              <c:f>Dashboard!$G$11:$G$14</c:f>
              <c:numCache>
                <c:formatCode>General</c:formatCode>
                <c:ptCount val="4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9-4285-9E4C-32DC54560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tabSelected="1" topLeftCell="A7" workbookViewId="0">
      <selection activeCell="L25" sqref="L25"/>
    </sheetView>
  </sheetViews>
  <sheetFormatPr defaultRowHeight="15" x14ac:dyDescent="0.25"/>
  <cols>
    <col min="1" max="1" width="22" customWidth="1"/>
    <col min="2" max="2" width="35" customWidth="1"/>
    <col min="4" max="4" width="16" customWidth="1"/>
    <col min="5" max="6" width="12" customWidth="1"/>
    <col min="7" max="7" width="14" customWidth="1"/>
  </cols>
  <sheetData>
    <row r="1" spans="1:7" ht="30" customHeight="1" x14ac:dyDescent="0.25">
      <c r="A1" s="10" t="s">
        <v>0</v>
      </c>
      <c r="B1" s="11"/>
      <c r="C1" s="11"/>
      <c r="D1" s="11"/>
      <c r="E1" s="11"/>
      <c r="F1" s="11"/>
      <c r="G1" s="11"/>
    </row>
    <row r="2" spans="1:7" ht="30" customHeight="1" x14ac:dyDescent="0.25">
      <c r="A2" s="1"/>
      <c r="B2" s="1"/>
      <c r="C2" s="1"/>
      <c r="D2" s="1"/>
      <c r="E2" s="1"/>
      <c r="F2" s="1"/>
      <c r="G2" s="1"/>
    </row>
    <row r="3" spans="1:7" ht="30" customHeight="1" x14ac:dyDescent="0.25">
      <c r="A3" s="1" t="s">
        <v>1</v>
      </c>
      <c r="B3" s="1" t="s">
        <v>2</v>
      </c>
      <c r="C3" s="1"/>
      <c r="D3" s="1"/>
      <c r="E3" s="1"/>
      <c r="F3" s="1"/>
      <c r="G3" s="1"/>
    </row>
    <row r="4" spans="1:7" ht="30" customHeight="1" x14ac:dyDescent="0.25">
      <c r="A4" s="1" t="s">
        <v>3</v>
      </c>
      <c r="B4" s="1" t="s">
        <v>4</v>
      </c>
      <c r="C4" s="1"/>
      <c r="D4" s="1"/>
      <c r="E4" s="1"/>
      <c r="F4" s="1"/>
      <c r="G4" s="1"/>
    </row>
    <row r="5" spans="1:7" ht="30" customHeight="1" x14ac:dyDescent="0.25">
      <c r="A5" s="1" t="s">
        <v>5</v>
      </c>
      <c r="B5" s="1" t="s">
        <v>6</v>
      </c>
      <c r="C5" s="1"/>
      <c r="D5" s="1"/>
      <c r="E5" s="1"/>
      <c r="F5" s="1"/>
      <c r="G5" s="1"/>
    </row>
    <row r="6" spans="1:7" ht="30" customHeight="1" x14ac:dyDescent="0.25">
      <c r="A6" s="1" t="s">
        <v>7</v>
      </c>
      <c r="B6" s="1" t="s">
        <v>8</v>
      </c>
      <c r="C6" s="1"/>
      <c r="D6" s="1"/>
      <c r="E6" s="1"/>
      <c r="F6" s="1"/>
      <c r="G6" s="1"/>
    </row>
    <row r="7" spans="1:7" ht="48.75" customHeight="1" x14ac:dyDescent="0.25">
      <c r="A7" s="2" t="s">
        <v>9</v>
      </c>
      <c r="B7" s="1" t="s">
        <v>10</v>
      </c>
      <c r="C7" s="1"/>
      <c r="D7" s="1"/>
      <c r="E7" s="1"/>
      <c r="F7" s="1"/>
      <c r="G7" s="1"/>
    </row>
    <row r="8" spans="1:7" ht="30" customHeight="1" x14ac:dyDescent="0.25">
      <c r="A8" s="1"/>
      <c r="B8" s="1"/>
      <c r="C8" s="1"/>
      <c r="D8" s="1"/>
      <c r="E8" s="1"/>
      <c r="F8" s="1"/>
      <c r="G8" s="1"/>
    </row>
    <row r="9" spans="1:7" ht="30" customHeight="1" x14ac:dyDescent="0.25">
      <c r="A9" s="1"/>
      <c r="B9" s="1"/>
      <c r="C9" s="1"/>
      <c r="D9" s="1"/>
      <c r="E9" s="1"/>
      <c r="F9" s="1"/>
      <c r="G9" s="1"/>
    </row>
    <row r="10" spans="1:7" ht="30" customHeight="1" x14ac:dyDescent="0.25">
      <c r="A10" s="3" t="s">
        <v>11</v>
      </c>
      <c r="B10" s="3"/>
      <c r="C10" s="4"/>
      <c r="D10" s="4" t="s">
        <v>12</v>
      </c>
      <c r="E10" s="4" t="s">
        <v>13</v>
      </c>
      <c r="F10" s="4" t="s">
        <v>14</v>
      </c>
      <c r="G10" s="4" t="s">
        <v>15</v>
      </c>
    </row>
    <row r="11" spans="1:7" ht="30" customHeight="1" x14ac:dyDescent="0.25">
      <c r="A11" s="5" t="s">
        <v>16</v>
      </c>
      <c r="B11" s="5">
        <f>COUNTA('Test Cases'!A2:A1000)</f>
        <v>40</v>
      </c>
      <c r="C11" s="1"/>
      <c r="D11" s="1" t="s">
        <v>17</v>
      </c>
      <c r="E11" s="1">
        <f>COUNTIF('Test Cases'!C:C,D11)</f>
        <v>11</v>
      </c>
      <c r="F11" s="1">
        <f>COUNTIFS('Test Cases'!C:C,D11,'Test Cases'!J:J,"Hoàn thành")</f>
        <v>0</v>
      </c>
      <c r="G11" s="1">
        <f>COUNTIFS('Test Cases'!C:C,D11,'Test Cases'!J:J,"Chưa hoàn thành")</f>
        <v>11</v>
      </c>
    </row>
    <row r="12" spans="1:7" ht="30" customHeight="1" x14ac:dyDescent="0.25">
      <c r="A12" s="5" t="s">
        <v>18</v>
      </c>
      <c r="B12" s="6">
        <f>COUNTIF('Test Cases'!J2:J1000,"Hoàn thành")</f>
        <v>0</v>
      </c>
      <c r="C12" s="1"/>
      <c r="D12" s="1" t="s">
        <v>19</v>
      </c>
      <c r="E12" s="1">
        <f>COUNTIF('Test Cases'!C:C,D12)</f>
        <v>10</v>
      </c>
      <c r="F12" s="1">
        <f>COUNTIFS('Test Cases'!C:C,D12,'Test Cases'!J:J,"Hoàn thành")</f>
        <v>0</v>
      </c>
      <c r="G12" s="1">
        <f>COUNTIFS('Test Cases'!C:C,D12,'Test Cases'!J:J,"Chưa hoàn thành")</f>
        <v>10</v>
      </c>
    </row>
    <row r="13" spans="1:7" ht="30" customHeight="1" x14ac:dyDescent="0.25">
      <c r="A13" s="5" t="s">
        <v>20</v>
      </c>
      <c r="B13" s="7">
        <f>COUNTIF('Test Cases'!J2:J1000,"Chưa hoàn thành")</f>
        <v>40</v>
      </c>
      <c r="C13" s="1"/>
      <c r="D13" s="1" t="s">
        <v>21</v>
      </c>
      <c r="E13" s="1">
        <f>COUNTIF('Test Cases'!C:C,D13)</f>
        <v>10</v>
      </c>
      <c r="F13" s="1">
        <f>COUNTIFS('Test Cases'!C:C,D13,'Test Cases'!J:J,"Hoàn thành")</f>
        <v>0</v>
      </c>
      <c r="G13" s="1">
        <f>COUNTIFS('Test Cases'!C:C,D13,'Test Cases'!J:J,"Chưa hoàn thành")</f>
        <v>10</v>
      </c>
    </row>
    <row r="14" spans="1:7" ht="30" customHeight="1" x14ac:dyDescent="0.25">
      <c r="A14" s="5" t="s">
        <v>22</v>
      </c>
      <c r="B14" s="8">
        <f>IF(B11=0,0,B12/B11)</f>
        <v>0</v>
      </c>
      <c r="C14" s="1"/>
      <c r="D14" s="1" t="s">
        <v>23</v>
      </c>
      <c r="E14" s="1">
        <f>COUNTIF('Test Cases'!C:C,D14)</f>
        <v>9</v>
      </c>
      <c r="F14" s="1">
        <f>COUNTIFS('Test Cases'!C:C,D14,'Test Cases'!J:J,"Hoàn thành")</f>
        <v>0</v>
      </c>
      <c r="G14" s="1">
        <f>COUNTIFS('Test Cases'!C:C,D14,'Test Cases'!J:J,"Chưa hoàn thành")</f>
        <v>9</v>
      </c>
    </row>
  </sheetData>
  <mergeCells count="1"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showGridLines="0" workbookViewId="0">
      <pane ySplit="1" topLeftCell="A17" activePane="bottomLeft" state="frozen"/>
      <selection pane="bottomLeft" activeCell="J2" sqref="J2"/>
    </sheetView>
  </sheetViews>
  <sheetFormatPr defaultRowHeight="15" x14ac:dyDescent="0.25"/>
  <cols>
    <col min="1" max="2" width="10" customWidth="1"/>
    <col min="3" max="3" width="14" customWidth="1"/>
    <col min="4" max="4" width="20" customWidth="1"/>
    <col min="5" max="6" width="35" customWidth="1"/>
    <col min="7" max="8" width="45" customWidth="1"/>
    <col min="9" max="9" width="12" customWidth="1"/>
    <col min="10" max="10" width="18" customWidth="1"/>
    <col min="11" max="11" width="35" customWidth="1"/>
  </cols>
  <sheetData>
    <row r="1" spans="1:11" ht="30" customHeight="1" x14ac:dyDescent="0.25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</row>
    <row r="2" spans="1:11" ht="30" customHeight="1" x14ac:dyDescent="0.25">
      <c r="A2" s="1" t="s">
        <v>35</v>
      </c>
      <c r="B2" s="1" t="s">
        <v>36</v>
      </c>
      <c r="C2" s="1" t="s">
        <v>17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66</v>
      </c>
      <c r="J2" s="1" t="s">
        <v>43</v>
      </c>
      <c r="K2" s="1"/>
    </row>
    <row r="3" spans="1:11" ht="30" customHeight="1" x14ac:dyDescent="0.25">
      <c r="A3" s="1" t="s">
        <v>44</v>
      </c>
      <c r="B3" s="1" t="s">
        <v>36</v>
      </c>
      <c r="C3" s="1" t="s">
        <v>17</v>
      </c>
      <c r="D3" s="1" t="s">
        <v>37</v>
      </c>
      <c r="E3" s="1" t="s">
        <v>45</v>
      </c>
      <c r="F3" s="1" t="s">
        <v>39</v>
      </c>
      <c r="G3" s="1" t="s">
        <v>46</v>
      </c>
      <c r="H3" s="1" t="s">
        <v>47</v>
      </c>
      <c r="I3" s="1" t="s">
        <v>42</v>
      </c>
      <c r="J3" s="1" t="s">
        <v>43</v>
      </c>
      <c r="K3" s="1"/>
    </row>
    <row r="4" spans="1:11" ht="30" customHeight="1" x14ac:dyDescent="0.25">
      <c r="A4" s="1" t="s">
        <v>48</v>
      </c>
      <c r="B4" s="1" t="s">
        <v>36</v>
      </c>
      <c r="C4" s="1" t="s">
        <v>19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42</v>
      </c>
      <c r="J4" s="1" t="s">
        <v>43</v>
      </c>
      <c r="K4" s="1"/>
    </row>
    <row r="5" spans="1:11" ht="30" customHeight="1" x14ac:dyDescent="0.25">
      <c r="A5" s="1" t="s">
        <v>54</v>
      </c>
      <c r="B5" s="1" t="s">
        <v>36</v>
      </c>
      <c r="C5" s="1" t="s">
        <v>21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42</v>
      </c>
      <c r="J5" s="1" t="s">
        <v>43</v>
      </c>
      <c r="K5" s="1"/>
    </row>
    <row r="6" spans="1:11" ht="30" customHeight="1" x14ac:dyDescent="0.25">
      <c r="A6" s="1" t="s">
        <v>60</v>
      </c>
      <c r="B6" s="1" t="s">
        <v>36</v>
      </c>
      <c r="C6" s="1" t="s">
        <v>23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43</v>
      </c>
      <c r="K6" s="1"/>
    </row>
    <row r="7" spans="1:11" ht="30" customHeight="1" x14ac:dyDescent="0.25">
      <c r="A7" s="1" t="s">
        <v>67</v>
      </c>
      <c r="B7" s="1" t="s">
        <v>68</v>
      </c>
      <c r="C7" s="1" t="s">
        <v>17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42</v>
      </c>
      <c r="J7" s="1" t="s">
        <v>43</v>
      </c>
      <c r="K7" s="1"/>
    </row>
    <row r="8" spans="1:11" ht="30" customHeight="1" x14ac:dyDescent="0.25">
      <c r="A8" s="1" t="s">
        <v>74</v>
      </c>
      <c r="B8" s="1" t="s">
        <v>68</v>
      </c>
      <c r="C8" s="1" t="s">
        <v>19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42</v>
      </c>
      <c r="J8" s="1" t="s">
        <v>43</v>
      </c>
      <c r="K8" s="1"/>
    </row>
    <row r="9" spans="1:11" ht="30" customHeight="1" x14ac:dyDescent="0.25">
      <c r="A9" s="1" t="s">
        <v>80</v>
      </c>
      <c r="B9" s="1" t="s">
        <v>68</v>
      </c>
      <c r="C9" s="1" t="s">
        <v>21</v>
      </c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42</v>
      </c>
      <c r="J9" s="1" t="s">
        <v>43</v>
      </c>
      <c r="K9" s="1"/>
    </row>
    <row r="10" spans="1:11" ht="30" customHeight="1" x14ac:dyDescent="0.25">
      <c r="A10" s="1" t="s">
        <v>86</v>
      </c>
      <c r="B10" s="1" t="s">
        <v>68</v>
      </c>
      <c r="C10" s="1" t="s">
        <v>23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42</v>
      </c>
      <c r="J10" s="1" t="s">
        <v>43</v>
      </c>
      <c r="K10" s="1"/>
    </row>
    <row r="11" spans="1:11" ht="30" customHeight="1" x14ac:dyDescent="0.25">
      <c r="A11" s="1" t="s">
        <v>92</v>
      </c>
      <c r="B11" s="1" t="s">
        <v>93</v>
      </c>
      <c r="C11" s="1" t="s">
        <v>17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66</v>
      </c>
      <c r="J11" s="1" t="s">
        <v>43</v>
      </c>
      <c r="K11" s="1"/>
    </row>
    <row r="12" spans="1:11" ht="30" customHeight="1" x14ac:dyDescent="0.25">
      <c r="A12" s="1" t="s">
        <v>99</v>
      </c>
      <c r="B12" s="1" t="s">
        <v>93</v>
      </c>
      <c r="C12" s="1" t="s">
        <v>19</v>
      </c>
      <c r="D12" s="1" t="s">
        <v>100</v>
      </c>
      <c r="E12" s="1" t="s">
        <v>101</v>
      </c>
      <c r="F12" s="1" t="s">
        <v>102</v>
      </c>
      <c r="G12" s="1" t="s">
        <v>103</v>
      </c>
      <c r="H12" s="1" t="s">
        <v>104</v>
      </c>
      <c r="I12" s="1" t="s">
        <v>42</v>
      </c>
      <c r="J12" s="1" t="s">
        <v>43</v>
      </c>
      <c r="K12" s="1"/>
    </row>
    <row r="13" spans="1:11" ht="30" customHeight="1" x14ac:dyDescent="0.25">
      <c r="A13" s="1" t="s">
        <v>105</v>
      </c>
      <c r="B13" s="1" t="s">
        <v>93</v>
      </c>
      <c r="C13" s="1" t="s">
        <v>21</v>
      </c>
      <c r="D13" s="1" t="s">
        <v>106</v>
      </c>
      <c r="E13" s="1" t="s">
        <v>107</v>
      </c>
      <c r="F13" s="1" t="s">
        <v>108</v>
      </c>
      <c r="G13" s="1" t="s">
        <v>109</v>
      </c>
      <c r="H13" s="1" t="s">
        <v>110</v>
      </c>
      <c r="I13" s="1" t="s">
        <v>42</v>
      </c>
      <c r="J13" s="1" t="s">
        <v>43</v>
      </c>
      <c r="K13" s="1"/>
    </row>
    <row r="14" spans="1:11" ht="30" customHeight="1" x14ac:dyDescent="0.25">
      <c r="A14" s="1" t="s">
        <v>111</v>
      </c>
      <c r="B14" s="1" t="s">
        <v>93</v>
      </c>
      <c r="C14" s="1" t="s">
        <v>23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116</v>
      </c>
      <c r="I14" s="1" t="s">
        <v>66</v>
      </c>
      <c r="J14" s="1" t="s">
        <v>43</v>
      </c>
      <c r="K14" s="1"/>
    </row>
    <row r="15" spans="1:11" ht="30" customHeight="1" x14ac:dyDescent="0.25">
      <c r="A15" s="1" t="s">
        <v>117</v>
      </c>
      <c r="B15" s="1" t="s">
        <v>118</v>
      </c>
      <c r="C15" s="1" t="s">
        <v>17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123</v>
      </c>
      <c r="I15" s="1" t="s">
        <v>42</v>
      </c>
      <c r="J15" s="1" t="s">
        <v>43</v>
      </c>
      <c r="K15" s="1"/>
    </row>
    <row r="16" spans="1:11" ht="30" customHeight="1" x14ac:dyDescent="0.25">
      <c r="A16" s="1" t="s">
        <v>124</v>
      </c>
      <c r="B16" s="1" t="s">
        <v>118</v>
      </c>
      <c r="C16" s="1" t="s">
        <v>19</v>
      </c>
      <c r="D16" s="1" t="s">
        <v>125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66</v>
      </c>
      <c r="J16" s="1" t="s">
        <v>43</v>
      </c>
      <c r="K16" s="1"/>
    </row>
    <row r="17" spans="1:11" ht="30" customHeight="1" x14ac:dyDescent="0.25">
      <c r="A17" s="1" t="s">
        <v>130</v>
      </c>
      <c r="B17" s="1" t="s">
        <v>118</v>
      </c>
      <c r="C17" s="1" t="s">
        <v>21</v>
      </c>
      <c r="D17" s="1" t="s">
        <v>131</v>
      </c>
      <c r="E17" s="1" t="s">
        <v>132</v>
      </c>
      <c r="F17" s="1" t="s">
        <v>133</v>
      </c>
      <c r="G17" s="1" t="s">
        <v>134</v>
      </c>
      <c r="H17" s="1" t="s">
        <v>135</v>
      </c>
      <c r="I17" s="1" t="s">
        <v>42</v>
      </c>
      <c r="J17" s="1" t="s">
        <v>43</v>
      </c>
      <c r="K17" s="1"/>
    </row>
    <row r="18" spans="1:11" ht="30" customHeight="1" x14ac:dyDescent="0.25">
      <c r="A18" s="1" t="s">
        <v>136</v>
      </c>
      <c r="B18" s="1" t="s">
        <v>118</v>
      </c>
      <c r="C18" s="1" t="s">
        <v>23</v>
      </c>
      <c r="D18" s="1" t="s">
        <v>137</v>
      </c>
      <c r="E18" s="1" t="s">
        <v>138</v>
      </c>
      <c r="F18" s="1" t="s">
        <v>139</v>
      </c>
      <c r="G18" s="1" t="s">
        <v>140</v>
      </c>
      <c r="H18" s="1" t="s">
        <v>141</v>
      </c>
      <c r="I18" s="1" t="s">
        <v>66</v>
      </c>
      <c r="J18" s="1" t="s">
        <v>43</v>
      </c>
      <c r="K18" s="1"/>
    </row>
    <row r="19" spans="1:11" ht="30" customHeight="1" x14ac:dyDescent="0.25">
      <c r="A19" s="1" t="s">
        <v>142</v>
      </c>
      <c r="B19" s="1" t="s">
        <v>143</v>
      </c>
      <c r="C19" s="1" t="s">
        <v>17</v>
      </c>
      <c r="D19" s="1" t="s">
        <v>144</v>
      </c>
      <c r="E19" s="1" t="s">
        <v>145</v>
      </c>
      <c r="F19" s="1" t="s">
        <v>146</v>
      </c>
      <c r="G19" s="1" t="s">
        <v>147</v>
      </c>
      <c r="H19" s="1" t="s">
        <v>148</v>
      </c>
      <c r="I19" s="1" t="s">
        <v>66</v>
      </c>
      <c r="J19" s="1" t="s">
        <v>43</v>
      </c>
      <c r="K19" s="1"/>
    </row>
    <row r="20" spans="1:11" ht="30" customHeight="1" x14ac:dyDescent="0.25">
      <c r="A20" s="1" t="s">
        <v>149</v>
      </c>
      <c r="B20" s="1" t="s">
        <v>143</v>
      </c>
      <c r="C20" s="1" t="s">
        <v>19</v>
      </c>
      <c r="D20" s="1" t="s">
        <v>150</v>
      </c>
      <c r="E20" s="1" t="s">
        <v>151</v>
      </c>
      <c r="F20" s="1" t="s">
        <v>152</v>
      </c>
      <c r="G20" s="1" t="s">
        <v>153</v>
      </c>
      <c r="H20" s="1" t="s">
        <v>154</v>
      </c>
      <c r="I20" s="1" t="s">
        <v>66</v>
      </c>
      <c r="J20" s="1" t="s">
        <v>43</v>
      </c>
      <c r="K20" s="1"/>
    </row>
    <row r="21" spans="1:11" ht="30" customHeight="1" x14ac:dyDescent="0.25">
      <c r="A21" s="1" t="s">
        <v>155</v>
      </c>
      <c r="B21" s="1" t="s">
        <v>143</v>
      </c>
      <c r="C21" s="1" t="s">
        <v>21</v>
      </c>
      <c r="D21" s="1" t="s">
        <v>156</v>
      </c>
      <c r="E21" s="1" t="s">
        <v>157</v>
      </c>
      <c r="F21" s="1" t="s">
        <v>158</v>
      </c>
      <c r="G21" s="1" t="s">
        <v>159</v>
      </c>
      <c r="H21" s="1" t="s">
        <v>160</v>
      </c>
      <c r="I21" s="1" t="s">
        <v>42</v>
      </c>
      <c r="J21" s="1" t="s">
        <v>43</v>
      </c>
      <c r="K21" s="1"/>
    </row>
    <row r="22" spans="1:11" ht="30" customHeight="1" x14ac:dyDescent="0.25">
      <c r="A22" s="1" t="s">
        <v>161</v>
      </c>
      <c r="B22" s="1" t="s">
        <v>143</v>
      </c>
      <c r="C22" s="1" t="s">
        <v>23</v>
      </c>
      <c r="D22" s="1" t="s">
        <v>162</v>
      </c>
      <c r="E22" s="1" t="s">
        <v>163</v>
      </c>
      <c r="F22" s="1" t="s">
        <v>164</v>
      </c>
      <c r="G22" s="1" t="s">
        <v>165</v>
      </c>
      <c r="H22" s="1" t="s">
        <v>166</v>
      </c>
      <c r="I22" s="1" t="s">
        <v>167</v>
      </c>
      <c r="J22" s="1" t="s">
        <v>43</v>
      </c>
      <c r="K22" s="1"/>
    </row>
    <row r="23" spans="1:11" ht="30" customHeight="1" x14ac:dyDescent="0.25">
      <c r="A23" s="1" t="s">
        <v>168</v>
      </c>
      <c r="B23" s="1" t="s">
        <v>169</v>
      </c>
      <c r="C23" s="1" t="s">
        <v>17</v>
      </c>
      <c r="D23" s="1" t="s">
        <v>170</v>
      </c>
      <c r="E23" s="1" t="s">
        <v>171</v>
      </c>
      <c r="F23" s="1" t="s">
        <v>146</v>
      </c>
      <c r="G23" s="1" t="s">
        <v>172</v>
      </c>
      <c r="H23" s="1" t="s">
        <v>173</v>
      </c>
      <c r="I23" s="1" t="s">
        <v>42</v>
      </c>
      <c r="J23" s="1" t="s">
        <v>43</v>
      </c>
      <c r="K23" s="1"/>
    </row>
    <row r="24" spans="1:11" ht="30" customHeight="1" x14ac:dyDescent="0.25">
      <c r="A24" s="1" t="s">
        <v>174</v>
      </c>
      <c r="B24" s="1" t="s">
        <v>169</v>
      </c>
      <c r="C24" s="1" t="s">
        <v>19</v>
      </c>
      <c r="D24" s="1" t="s">
        <v>175</v>
      </c>
      <c r="E24" s="1" t="s">
        <v>176</v>
      </c>
      <c r="F24" s="1" t="s">
        <v>77</v>
      </c>
      <c r="G24" s="1" t="s">
        <v>177</v>
      </c>
      <c r="H24" s="1" t="s">
        <v>178</v>
      </c>
      <c r="I24" s="1" t="s">
        <v>66</v>
      </c>
      <c r="J24" s="1" t="s">
        <v>43</v>
      </c>
      <c r="K24" s="1"/>
    </row>
    <row r="25" spans="1:11" ht="30" customHeight="1" x14ac:dyDescent="0.25">
      <c r="A25" s="1" t="s">
        <v>179</v>
      </c>
      <c r="B25" s="1" t="s">
        <v>169</v>
      </c>
      <c r="C25" s="1" t="s">
        <v>21</v>
      </c>
      <c r="D25" s="1" t="s">
        <v>180</v>
      </c>
      <c r="E25" s="1" t="s">
        <v>181</v>
      </c>
      <c r="F25" s="1" t="s">
        <v>182</v>
      </c>
      <c r="G25" s="1" t="s">
        <v>183</v>
      </c>
      <c r="H25" s="1" t="s">
        <v>184</v>
      </c>
      <c r="I25" s="1" t="s">
        <v>42</v>
      </c>
      <c r="J25" s="1" t="s">
        <v>43</v>
      </c>
      <c r="K25" s="1"/>
    </row>
    <row r="26" spans="1:11" ht="30" customHeight="1" x14ac:dyDescent="0.25">
      <c r="A26" s="1" t="s">
        <v>185</v>
      </c>
      <c r="B26" s="1" t="s">
        <v>169</v>
      </c>
      <c r="C26" s="1" t="s">
        <v>23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66</v>
      </c>
      <c r="J26" s="1" t="s">
        <v>43</v>
      </c>
      <c r="K26" s="1"/>
    </row>
    <row r="27" spans="1:11" ht="30" customHeight="1" x14ac:dyDescent="0.25">
      <c r="A27" s="1" t="s">
        <v>191</v>
      </c>
      <c r="B27" s="1" t="s">
        <v>192</v>
      </c>
      <c r="C27" s="1" t="s">
        <v>17</v>
      </c>
      <c r="D27" s="1" t="s">
        <v>37</v>
      </c>
      <c r="E27" s="1" t="s">
        <v>193</v>
      </c>
      <c r="F27" s="1" t="s">
        <v>194</v>
      </c>
      <c r="G27" s="1" t="s">
        <v>195</v>
      </c>
      <c r="H27" s="1" t="s">
        <v>196</v>
      </c>
      <c r="I27" s="1" t="s">
        <v>66</v>
      </c>
      <c r="J27" s="1" t="s">
        <v>43</v>
      </c>
      <c r="K27" s="1"/>
    </row>
    <row r="28" spans="1:11" ht="30" customHeight="1" x14ac:dyDescent="0.25">
      <c r="A28" s="1" t="s">
        <v>197</v>
      </c>
      <c r="B28" s="1" t="s">
        <v>192</v>
      </c>
      <c r="C28" s="1" t="s">
        <v>19</v>
      </c>
      <c r="D28" s="1" t="s">
        <v>198</v>
      </c>
      <c r="E28" s="1" t="s">
        <v>199</v>
      </c>
      <c r="F28" s="1" t="s">
        <v>200</v>
      </c>
      <c r="G28" s="1" t="s">
        <v>201</v>
      </c>
      <c r="H28" s="1" t="s">
        <v>202</v>
      </c>
      <c r="I28" s="1" t="s">
        <v>66</v>
      </c>
      <c r="J28" s="1" t="s">
        <v>43</v>
      </c>
      <c r="K28" s="1"/>
    </row>
    <row r="29" spans="1:11" ht="30" customHeight="1" x14ac:dyDescent="0.25">
      <c r="A29" s="1" t="s">
        <v>203</v>
      </c>
      <c r="B29" s="1" t="s">
        <v>192</v>
      </c>
      <c r="C29" s="1" t="s">
        <v>21</v>
      </c>
      <c r="D29" s="1" t="s">
        <v>204</v>
      </c>
      <c r="E29" s="1" t="s">
        <v>205</v>
      </c>
      <c r="F29" s="1" t="s">
        <v>206</v>
      </c>
      <c r="G29" s="1" t="s">
        <v>207</v>
      </c>
      <c r="H29" s="1" t="s">
        <v>208</v>
      </c>
      <c r="I29" s="1" t="s">
        <v>42</v>
      </c>
      <c r="J29" s="1" t="s">
        <v>43</v>
      </c>
      <c r="K29" s="1"/>
    </row>
    <row r="30" spans="1:11" ht="30" customHeight="1" x14ac:dyDescent="0.25">
      <c r="A30" s="1" t="s">
        <v>209</v>
      </c>
      <c r="B30" s="1" t="s">
        <v>192</v>
      </c>
      <c r="C30" s="1" t="s">
        <v>23</v>
      </c>
      <c r="D30" s="1" t="s">
        <v>210</v>
      </c>
      <c r="E30" s="1" t="s">
        <v>211</v>
      </c>
      <c r="F30" s="1" t="s">
        <v>212</v>
      </c>
      <c r="G30" s="1" t="s">
        <v>213</v>
      </c>
      <c r="H30" s="1" t="s">
        <v>214</v>
      </c>
      <c r="I30" s="1" t="s">
        <v>66</v>
      </c>
      <c r="J30" s="1" t="s">
        <v>43</v>
      </c>
      <c r="K30" s="1"/>
    </row>
    <row r="31" spans="1:11" ht="30" customHeight="1" x14ac:dyDescent="0.25">
      <c r="A31" s="1" t="s">
        <v>215</v>
      </c>
      <c r="B31" s="1" t="s">
        <v>216</v>
      </c>
      <c r="C31" s="1" t="s">
        <v>17</v>
      </c>
      <c r="D31" s="1" t="s">
        <v>217</v>
      </c>
      <c r="E31" s="1" t="s">
        <v>218</v>
      </c>
      <c r="F31" s="1" t="s">
        <v>219</v>
      </c>
      <c r="G31" s="1" t="s">
        <v>220</v>
      </c>
      <c r="H31" s="1" t="s">
        <v>221</v>
      </c>
      <c r="I31" s="1" t="s">
        <v>66</v>
      </c>
      <c r="J31" s="1" t="s">
        <v>43</v>
      </c>
      <c r="K31" s="1"/>
    </row>
    <row r="32" spans="1:11" ht="30" customHeight="1" x14ac:dyDescent="0.25">
      <c r="A32" s="1" t="s">
        <v>222</v>
      </c>
      <c r="B32" s="1" t="s">
        <v>216</v>
      </c>
      <c r="C32" s="1" t="s">
        <v>19</v>
      </c>
      <c r="D32" s="1" t="s">
        <v>223</v>
      </c>
      <c r="E32" s="1" t="s">
        <v>224</v>
      </c>
      <c r="F32" s="1" t="s">
        <v>225</v>
      </c>
      <c r="G32" s="1" t="s">
        <v>226</v>
      </c>
      <c r="H32" s="1" t="s">
        <v>227</v>
      </c>
      <c r="I32" s="1" t="s">
        <v>42</v>
      </c>
      <c r="J32" s="1" t="s">
        <v>43</v>
      </c>
      <c r="K32" s="1"/>
    </row>
    <row r="33" spans="1:11" ht="30" customHeight="1" x14ac:dyDescent="0.25">
      <c r="A33" s="1" t="s">
        <v>228</v>
      </c>
      <c r="B33" s="1" t="s">
        <v>216</v>
      </c>
      <c r="C33" s="1" t="s">
        <v>21</v>
      </c>
      <c r="D33" s="1" t="s">
        <v>229</v>
      </c>
      <c r="E33" s="1" t="s">
        <v>230</v>
      </c>
      <c r="F33" s="1" t="s">
        <v>231</v>
      </c>
      <c r="G33" s="1" t="s">
        <v>232</v>
      </c>
      <c r="H33" s="1" t="s">
        <v>233</v>
      </c>
      <c r="I33" s="1" t="s">
        <v>42</v>
      </c>
      <c r="J33" s="1" t="s">
        <v>43</v>
      </c>
      <c r="K33" s="1"/>
    </row>
    <row r="34" spans="1:11" ht="30" customHeight="1" x14ac:dyDescent="0.25">
      <c r="A34" s="1" t="s">
        <v>234</v>
      </c>
      <c r="B34" s="1" t="s">
        <v>216</v>
      </c>
      <c r="C34" s="1" t="s">
        <v>23</v>
      </c>
      <c r="D34" s="1" t="s">
        <v>235</v>
      </c>
      <c r="E34" s="1" t="s">
        <v>236</v>
      </c>
      <c r="F34" s="1" t="s">
        <v>237</v>
      </c>
      <c r="G34" s="1" t="s">
        <v>238</v>
      </c>
      <c r="H34" s="1" t="s">
        <v>239</v>
      </c>
      <c r="I34" s="1" t="s">
        <v>66</v>
      </c>
      <c r="J34" s="1" t="s">
        <v>43</v>
      </c>
      <c r="K34" s="1"/>
    </row>
    <row r="35" spans="1:11" ht="30" customHeight="1" x14ac:dyDescent="0.25">
      <c r="A35" s="1" t="s">
        <v>240</v>
      </c>
      <c r="B35" s="1" t="s">
        <v>241</v>
      </c>
      <c r="C35" s="1" t="s">
        <v>17</v>
      </c>
      <c r="D35" s="1" t="s">
        <v>242</v>
      </c>
      <c r="E35" s="1" t="s">
        <v>243</v>
      </c>
      <c r="F35" s="1" t="s">
        <v>244</v>
      </c>
      <c r="G35" s="1" t="s">
        <v>245</v>
      </c>
      <c r="H35" s="1" t="s">
        <v>246</v>
      </c>
      <c r="I35" s="1" t="s">
        <v>42</v>
      </c>
      <c r="J35" s="1" t="s">
        <v>43</v>
      </c>
      <c r="K35" s="1"/>
    </row>
    <row r="36" spans="1:11" ht="30" customHeight="1" x14ac:dyDescent="0.25">
      <c r="A36" s="1" t="s">
        <v>247</v>
      </c>
      <c r="B36" s="1" t="s">
        <v>241</v>
      </c>
      <c r="C36" s="1" t="s">
        <v>19</v>
      </c>
      <c r="D36" s="1" t="s">
        <v>248</v>
      </c>
      <c r="E36" s="1" t="s">
        <v>249</v>
      </c>
      <c r="F36" s="1" t="s">
        <v>250</v>
      </c>
      <c r="G36" s="1" t="s">
        <v>251</v>
      </c>
      <c r="H36" s="1" t="s">
        <v>252</v>
      </c>
      <c r="I36" s="1" t="s">
        <v>167</v>
      </c>
      <c r="J36" s="1" t="s">
        <v>43</v>
      </c>
      <c r="K36" s="1"/>
    </row>
    <row r="37" spans="1:11" ht="30" customHeight="1" x14ac:dyDescent="0.25">
      <c r="A37" s="1" t="s">
        <v>253</v>
      </c>
      <c r="B37" s="1" t="s">
        <v>241</v>
      </c>
      <c r="C37" s="1" t="s">
        <v>21</v>
      </c>
      <c r="D37" s="1" t="s">
        <v>254</v>
      </c>
      <c r="E37" s="1" t="s">
        <v>255</v>
      </c>
      <c r="F37" s="1" t="s">
        <v>256</v>
      </c>
      <c r="G37" s="1" t="s">
        <v>257</v>
      </c>
      <c r="H37" s="1" t="s">
        <v>258</v>
      </c>
      <c r="I37" s="1" t="s">
        <v>42</v>
      </c>
      <c r="J37" s="1" t="s">
        <v>43</v>
      </c>
      <c r="K37" s="1"/>
    </row>
    <row r="38" spans="1:11" ht="30" customHeight="1" x14ac:dyDescent="0.25">
      <c r="A38" s="1" t="s">
        <v>259</v>
      </c>
      <c r="B38" s="1" t="s">
        <v>241</v>
      </c>
      <c r="C38" s="1" t="s">
        <v>23</v>
      </c>
      <c r="D38" s="1" t="s">
        <v>260</v>
      </c>
      <c r="E38" s="1" t="s">
        <v>261</v>
      </c>
      <c r="F38" s="1" t="s">
        <v>262</v>
      </c>
      <c r="G38" s="1" t="s">
        <v>263</v>
      </c>
      <c r="H38" s="1" t="s">
        <v>264</v>
      </c>
      <c r="I38" s="1" t="s">
        <v>66</v>
      </c>
      <c r="J38" s="1" t="s">
        <v>43</v>
      </c>
      <c r="K38" s="1"/>
    </row>
    <row r="39" spans="1:11" ht="30" customHeight="1" x14ac:dyDescent="0.25">
      <c r="A39" s="1" t="s">
        <v>265</v>
      </c>
      <c r="B39" s="1" t="s">
        <v>266</v>
      </c>
      <c r="C39" s="1" t="s">
        <v>17</v>
      </c>
      <c r="D39" s="1" t="s">
        <v>267</v>
      </c>
      <c r="E39" s="1" t="s">
        <v>268</v>
      </c>
      <c r="F39" s="1" t="s">
        <v>269</v>
      </c>
      <c r="G39" s="1" t="s">
        <v>270</v>
      </c>
      <c r="H39" s="1" t="s">
        <v>271</v>
      </c>
      <c r="I39" s="1" t="s">
        <v>42</v>
      </c>
      <c r="J39" s="1" t="s">
        <v>43</v>
      </c>
      <c r="K39" s="1"/>
    </row>
    <row r="40" spans="1:11" ht="30" customHeight="1" x14ac:dyDescent="0.25">
      <c r="A40" s="1" t="s">
        <v>272</v>
      </c>
      <c r="B40" s="1" t="s">
        <v>266</v>
      </c>
      <c r="C40" s="1" t="s">
        <v>19</v>
      </c>
      <c r="D40" s="1" t="s">
        <v>273</v>
      </c>
      <c r="E40" s="1" t="s">
        <v>274</v>
      </c>
      <c r="F40" s="1" t="s">
        <v>275</v>
      </c>
      <c r="G40" s="1" t="s">
        <v>276</v>
      </c>
      <c r="H40" s="1" t="s">
        <v>277</v>
      </c>
      <c r="I40" s="1" t="s">
        <v>42</v>
      </c>
      <c r="J40" s="1" t="s">
        <v>43</v>
      </c>
      <c r="K40" s="1"/>
    </row>
    <row r="41" spans="1:11" ht="30" customHeight="1" x14ac:dyDescent="0.25">
      <c r="A41" s="1" t="s">
        <v>278</v>
      </c>
      <c r="B41" s="1" t="s">
        <v>266</v>
      </c>
      <c r="C41" s="1" t="s">
        <v>21</v>
      </c>
      <c r="D41" s="1" t="s">
        <v>279</v>
      </c>
      <c r="E41" s="1" t="s">
        <v>280</v>
      </c>
      <c r="F41" s="1" t="s">
        <v>281</v>
      </c>
      <c r="G41" s="1" t="s">
        <v>282</v>
      </c>
      <c r="H41" s="1" t="s">
        <v>283</v>
      </c>
      <c r="I41" s="1" t="s">
        <v>42</v>
      </c>
      <c r="J41" s="1" t="s">
        <v>43</v>
      </c>
      <c r="K41" s="1"/>
    </row>
  </sheetData>
  <autoFilter ref="A1:K41" xr:uid="{00000000-0009-0000-0000-000001000000}"/>
  <conditionalFormatting sqref="J2:J41">
    <cfRule type="cellIs" dxfId="3" priority="1" operator="equal">
      <formula>"Hoàn thành"</formula>
    </cfRule>
    <cfRule type="cellIs" dxfId="2" priority="2" operator="equal">
      <formula>"Chưa hoàn thành"</formula>
    </cfRule>
  </conditionalFormatting>
  <dataValidations count="2">
    <dataValidation type="list" sqref="J2:J41" xr:uid="{00000000-0002-0000-0100-000000000000}">
      <formula1>"Chưa hoàn thành,Hoàn thành"</formula1>
    </dataValidation>
    <dataValidation type="list" sqref="I2:I41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showGridLines="0" workbookViewId="0">
      <pane ySplit="1" topLeftCell="A3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5" customWidth="1"/>
    <col min="4" max="4" width="14" customWidth="1"/>
    <col min="5" max="6" width="18" customWidth="1"/>
    <col min="7" max="7" width="35" customWidth="1"/>
  </cols>
  <sheetData>
    <row r="1" spans="1:7" ht="30" customHeight="1" x14ac:dyDescent="0.25">
      <c r="A1" s="9" t="s">
        <v>25</v>
      </c>
      <c r="B1" s="9" t="s">
        <v>284</v>
      </c>
      <c r="C1" s="9" t="s">
        <v>285</v>
      </c>
      <c r="D1" s="9" t="s">
        <v>286</v>
      </c>
      <c r="E1" s="9" t="s">
        <v>287</v>
      </c>
      <c r="F1" s="9" t="s">
        <v>33</v>
      </c>
      <c r="G1" s="9" t="s">
        <v>288</v>
      </c>
    </row>
    <row r="2" spans="1:7" ht="30" customHeight="1" x14ac:dyDescent="0.25">
      <c r="A2" s="1" t="s">
        <v>36</v>
      </c>
      <c r="B2" s="1" t="s">
        <v>17</v>
      </c>
      <c r="C2" s="1" t="s">
        <v>289</v>
      </c>
      <c r="D2" s="1" t="s">
        <v>36</v>
      </c>
      <c r="E2" s="1" t="s">
        <v>290</v>
      </c>
      <c r="F2" s="1" t="s">
        <v>43</v>
      </c>
      <c r="G2" s="1"/>
    </row>
    <row r="3" spans="1:7" ht="30" customHeight="1" x14ac:dyDescent="0.25">
      <c r="A3" s="1" t="s">
        <v>36</v>
      </c>
      <c r="B3" s="1" t="s">
        <v>19</v>
      </c>
      <c r="C3" s="1" t="s">
        <v>50</v>
      </c>
      <c r="D3" s="1" t="s">
        <v>36</v>
      </c>
      <c r="E3" s="1" t="s">
        <v>48</v>
      </c>
      <c r="F3" s="1" t="s">
        <v>43</v>
      </c>
      <c r="G3" s="1"/>
    </row>
    <row r="4" spans="1:7" ht="30" customHeight="1" x14ac:dyDescent="0.25">
      <c r="A4" s="1" t="s">
        <v>36</v>
      </c>
      <c r="B4" s="1" t="s">
        <v>21</v>
      </c>
      <c r="C4" s="1" t="s">
        <v>56</v>
      </c>
      <c r="D4" s="1" t="s">
        <v>36</v>
      </c>
      <c r="E4" s="1" t="s">
        <v>54</v>
      </c>
      <c r="F4" s="1" t="s">
        <v>43</v>
      </c>
      <c r="G4" s="1"/>
    </row>
    <row r="5" spans="1:7" ht="30" customHeight="1" x14ac:dyDescent="0.25">
      <c r="A5" s="1" t="s">
        <v>36</v>
      </c>
      <c r="B5" s="1" t="s">
        <v>23</v>
      </c>
      <c r="C5" s="1" t="s">
        <v>62</v>
      </c>
      <c r="D5" s="1" t="s">
        <v>36</v>
      </c>
      <c r="E5" s="1" t="s">
        <v>60</v>
      </c>
      <c r="F5" s="1" t="s">
        <v>43</v>
      </c>
      <c r="G5" s="1"/>
    </row>
    <row r="6" spans="1:7" ht="30" customHeight="1" x14ac:dyDescent="0.25">
      <c r="A6" s="1" t="s">
        <v>68</v>
      </c>
      <c r="B6" s="1" t="s">
        <v>17</v>
      </c>
      <c r="C6" s="1" t="s">
        <v>70</v>
      </c>
      <c r="D6" s="1" t="s">
        <v>68</v>
      </c>
      <c r="E6" s="1" t="s">
        <v>67</v>
      </c>
      <c r="F6" s="1" t="s">
        <v>43</v>
      </c>
      <c r="G6" s="1"/>
    </row>
    <row r="7" spans="1:7" ht="30" customHeight="1" x14ac:dyDescent="0.25">
      <c r="A7" s="1" t="s">
        <v>68</v>
      </c>
      <c r="B7" s="1" t="s">
        <v>19</v>
      </c>
      <c r="C7" s="1" t="s">
        <v>76</v>
      </c>
      <c r="D7" s="1" t="s">
        <v>68</v>
      </c>
      <c r="E7" s="1" t="s">
        <v>74</v>
      </c>
      <c r="F7" s="1" t="s">
        <v>43</v>
      </c>
      <c r="G7" s="1"/>
    </row>
    <row r="8" spans="1:7" ht="30" customHeight="1" x14ac:dyDescent="0.25">
      <c r="A8" s="1" t="s">
        <v>68</v>
      </c>
      <c r="B8" s="1" t="s">
        <v>21</v>
      </c>
      <c r="C8" s="1" t="s">
        <v>82</v>
      </c>
      <c r="D8" s="1" t="s">
        <v>68</v>
      </c>
      <c r="E8" s="1" t="s">
        <v>80</v>
      </c>
      <c r="F8" s="1" t="s">
        <v>43</v>
      </c>
      <c r="G8" s="1"/>
    </row>
    <row r="9" spans="1:7" ht="30" customHeight="1" x14ac:dyDescent="0.25">
      <c r="A9" s="1" t="s">
        <v>68</v>
      </c>
      <c r="B9" s="1" t="s">
        <v>23</v>
      </c>
      <c r="C9" s="1" t="s">
        <v>88</v>
      </c>
      <c r="D9" s="1" t="s">
        <v>68</v>
      </c>
      <c r="E9" s="1" t="s">
        <v>86</v>
      </c>
      <c r="F9" s="1" t="s">
        <v>43</v>
      </c>
      <c r="G9" s="1"/>
    </row>
    <row r="10" spans="1:7" ht="30" customHeight="1" x14ac:dyDescent="0.25">
      <c r="A10" s="1" t="s">
        <v>93</v>
      </c>
      <c r="B10" s="1" t="s">
        <v>17</v>
      </c>
      <c r="C10" s="1" t="s">
        <v>95</v>
      </c>
      <c r="D10" s="1" t="s">
        <v>93</v>
      </c>
      <c r="E10" s="1" t="s">
        <v>92</v>
      </c>
      <c r="F10" s="1" t="s">
        <v>43</v>
      </c>
      <c r="G10" s="1"/>
    </row>
    <row r="11" spans="1:7" ht="30" customHeight="1" x14ac:dyDescent="0.25">
      <c r="A11" s="1" t="s">
        <v>93</v>
      </c>
      <c r="B11" s="1" t="s">
        <v>19</v>
      </c>
      <c r="C11" s="1" t="s">
        <v>101</v>
      </c>
      <c r="D11" s="1" t="s">
        <v>93</v>
      </c>
      <c r="E11" s="1" t="s">
        <v>99</v>
      </c>
      <c r="F11" s="1" t="s">
        <v>43</v>
      </c>
      <c r="G11" s="1"/>
    </row>
    <row r="12" spans="1:7" ht="30" customHeight="1" x14ac:dyDescent="0.25">
      <c r="A12" s="1" t="s">
        <v>93</v>
      </c>
      <c r="B12" s="1" t="s">
        <v>21</v>
      </c>
      <c r="C12" s="1" t="s">
        <v>107</v>
      </c>
      <c r="D12" s="1" t="s">
        <v>93</v>
      </c>
      <c r="E12" s="1" t="s">
        <v>105</v>
      </c>
      <c r="F12" s="1" t="s">
        <v>43</v>
      </c>
      <c r="G12" s="1"/>
    </row>
    <row r="13" spans="1:7" ht="30" customHeight="1" x14ac:dyDescent="0.25">
      <c r="A13" s="1" t="s">
        <v>93</v>
      </c>
      <c r="B13" s="1" t="s">
        <v>23</v>
      </c>
      <c r="C13" s="1" t="s">
        <v>113</v>
      </c>
      <c r="D13" s="1" t="s">
        <v>93</v>
      </c>
      <c r="E13" s="1" t="s">
        <v>111</v>
      </c>
      <c r="F13" s="1" t="s">
        <v>43</v>
      </c>
      <c r="G13" s="1"/>
    </row>
    <row r="14" spans="1:7" ht="30" customHeight="1" x14ac:dyDescent="0.25">
      <c r="A14" s="1" t="s">
        <v>118</v>
      </c>
      <c r="B14" s="1" t="s">
        <v>17</v>
      </c>
      <c r="C14" s="1" t="s">
        <v>120</v>
      </c>
      <c r="D14" s="1" t="s">
        <v>118</v>
      </c>
      <c r="E14" s="1" t="s">
        <v>117</v>
      </c>
      <c r="F14" s="1" t="s">
        <v>43</v>
      </c>
      <c r="G14" s="1"/>
    </row>
    <row r="15" spans="1:7" ht="30" customHeight="1" x14ac:dyDescent="0.25">
      <c r="A15" s="1" t="s">
        <v>118</v>
      </c>
      <c r="B15" s="1" t="s">
        <v>19</v>
      </c>
      <c r="C15" s="1" t="s">
        <v>126</v>
      </c>
      <c r="D15" s="1" t="s">
        <v>118</v>
      </c>
      <c r="E15" s="1" t="s">
        <v>124</v>
      </c>
      <c r="F15" s="1" t="s">
        <v>43</v>
      </c>
      <c r="G15" s="1"/>
    </row>
    <row r="16" spans="1:7" ht="30" customHeight="1" x14ac:dyDescent="0.25">
      <c r="A16" s="1" t="s">
        <v>118</v>
      </c>
      <c r="B16" s="1" t="s">
        <v>21</v>
      </c>
      <c r="C16" s="1" t="s">
        <v>132</v>
      </c>
      <c r="D16" s="1" t="s">
        <v>118</v>
      </c>
      <c r="E16" s="1" t="s">
        <v>130</v>
      </c>
      <c r="F16" s="1" t="s">
        <v>43</v>
      </c>
      <c r="G16" s="1"/>
    </row>
    <row r="17" spans="1:7" ht="30" customHeight="1" x14ac:dyDescent="0.25">
      <c r="A17" s="1" t="s">
        <v>118</v>
      </c>
      <c r="B17" s="1" t="s">
        <v>23</v>
      </c>
      <c r="C17" s="1" t="s">
        <v>138</v>
      </c>
      <c r="D17" s="1" t="s">
        <v>118</v>
      </c>
      <c r="E17" s="1" t="s">
        <v>136</v>
      </c>
      <c r="F17" s="1" t="s">
        <v>43</v>
      </c>
      <c r="G17" s="1"/>
    </row>
    <row r="18" spans="1:7" ht="30" customHeight="1" x14ac:dyDescent="0.25">
      <c r="A18" s="1" t="s">
        <v>143</v>
      </c>
      <c r="B18" s="1" t="s">
        <v>17</v>
      </c>
      <c r="C18" s="1" t="s">
        <v>145</v>
      </c>
      <c r="D18" s="1" t="s">
        <v>143</v>
      </c>
      <c r="E18" s="1" t="s">
        <v>142</v>
      </c>
      <c r="F18" s="1" t="s">
        <v>43</v>
      </c>
      <c r="G18" s="1"/>
    </row>
    <row r="19" spans="1:7" ht="30" customHeight="1" x14ac:dyDescent="0.25">
      <c r="A19" s="1" t="s">
        <v>143</v>
      </c>
      <c r="B19" s="1" t="s">
        <v>19</v>
      </c>
      <c r="C19" s="1" t="s">
        <v>151</v>
      </c>
      <c r="D19" s="1" t="s">
        <v>143</v>
      </c>
      <c r="E19" s="1" t="s">
        <v>149</v>
      </c>
      <c r="F19" s="1" t="s">
        <v>43</v>
      </c>
      <c r="G19" s="1"/>
    </row>
    <row r="20" spans="1:7" ht="30" customHeight="1" x14ac:dyDescent="0.25">
      <c r="A20" s="1" t="s">
        <v>143</v>
      </c>
      <c r="B20" s="1" t="s">
        <v>21</v>
      </c>
      <c r="C20" s="1" t="s">
        <v>157</v>
      </c>
      <c r="D20" s="1" t="s">
        <v>143</v>
      </c>
      <c r="E20" s="1" t="s">
        <v>155</v>
      </c>
      <c r="F20" s="1" t="s">
        <v>43</v>
      </c>
      <c r="G20" s="1"/>
    </row>
    <row r="21" spans="1:7" ht="30" customHeight="1" x14ac:dyDescent="0.25">
      <c r="A21" s="1" t="s">
        <v>143</v>
      </c>
      <c r="B21" s="1" t="s">
        <v>23</v>
      </c>
      <c r="C21" s="1" t="s">
        <v>163</v>
      </c>
      <c r="D21" s="1" t="s">
        <v>143</v>
      </c>
      <c r="E21" s="1" t="s">
        <v>161</v>
      </c>
      <c r="F21" s="1" t="s">
        <v>43</v>
      </c>
      <c r="G21" s="1"/>
    </row>
    <row r="22" spans="1:7" ht="30" customHeight="1" x14ac:dyDescent="0.25">
      <c r="A22" s="1" t="s">
        <v>169</v>
      </c>
      <c r="B22" s="1" t="s">
        <v>17</v>
      </c>
      <c r="C22" s="1" t="s">
        <v>171</v>
      </c>
      <c r="D22" s="1" t="s">
        <v>169</v>
      </c>
      <c r="E22" s="1" t="s">
        <v>168</v>
      </c>
      <c r="F22" s="1" t="s">
        <v>43</v>
      </c>
      <c r="G22" s="1"/>
    </row>
    <row r="23" spans="1:7" ht="30" customHeight="1" x14ac:dyDescent="0.25">
      <c r="A23" s="1" t="s">
        <v>169</v>
      </c>
      <c r="B23" s="1" t="s">
        <v>19</v>
      </c>
      <c r="C23" s="1" t="s">
        <v>176</v>
      </c>
      <c r="D23" s="1" t="s">
        <v>169</v>
      </c>
      <c r="E23" s="1" t="s">
        <v>174</v>
      </c>
      <c r="F23" s="1" t="s">
        <v>43</v>
      </c>
      <c r="G23" s="1"/>
    </row>
    <row r="24" spans="1:7" ht="30" customHeight="1" x14ac:dyDescent="0.25">
      <c r="A24" s="1" t="s">
        <v>169</v>
      </c>
      <c r="B24" s="1" t="s">
        <v>21</v>
      </c>
      <c r="C24" s="1" t="s">
        <v>181</v>
      </c>
      <c r="D24" s="1" t="s">
        <v>169</v>
      </c>
      <c r="E24" s="1" t="s">
        <v>179</v>
      </c>
      <c r="F24" s="1" t="s">
        <v>43</v>
      </c>
      <c r="G24" s="1"/>
    </row>
    <row r="25" spans="1:7" ht="30" customHeight="1" x14ac:dyDescent="0.25">
      <c r="A25" s="1" t="s">
        <v>169</v>
      </c>
      <c r="B25" s="1" t="s">
        <v>23</v>
      </c>
      <c r="C25" s="1" t="s">
        <v>187</v>
      </c>
      <c r="D25" s="1" t="s">
        <v>169</v>
      </c>
      <c r="E25" s="1" t="s">
        <v>185</v>
      </c>
      <c r="F25" s="1" t="s">
        <v>43</v>
      </c>
      <c r="G25" s="1"/>
    </row>
    <row r="26" spans="1:7" ht="30" customHeight="1" x14ac:dyDescent="0.25">
      <c r="A26" s="1" t="s">
        <v>192</v>
      </c>
      <c r="B26" s="1" t="s">
        <v>17</v>
      </c>
      <c r="C26" s="1" t="s">
        <v>193</v>
      </c>
      <c r="D26" s="1" t="s">
        <v>192</v>
      </c>
      <c r="E26" s="1" t="s">
        <v>191</v>
      </c>
      <c r="F26" s="1" t="s">
        <v>43</v>
      </c>
      <c r="G26" s="1"/>
    </row>
    <row r="27" spans="1:7" ht="30" customHeight="1" x14ac:dyDescent="0.25">
      <c r="A27" s="1" t="s">
        <v>192</v>
      </c>
      <c r="B27" s="1" t="s">
        <v>19</v>
      </c>
      <c r="C27" s="1" t="s">
        <v>199</v>
      </c>
      <c r="D27" s="1" t="s">
        <v>192</v>
      </c>
      <c r="E27" s="1" t="s">
        <v>197</v>
      </c>
      <c r="F27" s="1" t="s">
        <v>43</v>
      </c>
      <c r="G27" s="1"/>
    </row>
    <row r="28" spans="1:7" ht="30" customHeight="1" x14ac:dyDescent="0.25">
      <c r="A28" s="1" t="s">
        <v>192</v>
      </c>
      <c r="B28" s="1" t="s">
        <v>21</v>
      </c>
      <c r="C28" s="1" t="s">
        <v>205</v>
      </c>
      <c r="D28" s="1" t="s">
        <v>192</v>
      </c>
      <c r="E28" s="1" t="s">
        <v>203</v>
      </c>
      <c r="F28" s="1" t="s">
        <v>43</v>
      </c>
      <c r="G28" s="1"/>
    </row>
    <row r="29" spans="1:7" ht="30" customHeight="1" x14ac:dyDescent="0.25">
      <c r="A29" s="1" t="s">
        <v>192</v>
      </c>
      <c r="B29" s="1" t="s">
        <v>23</v>
      </c>
      <c r="C29" s="1" t="s">
        <v>211</v>
      </c>
      <c r="D29" s="1" t="s">
        <v>192</v>
      </c>
      <c r="E29" s="1" t="s">
        <v>209</v>
      </c>
      <c r="F29" s="1" t="s">
        <v>43</v>
      </c>
      <c r="G29" s="1"/>
    </row>
    <row r="30" spans="1:7" ht="30" customHeight="1" x14ac:dyDescent="0.25">
      <c r="A30" s="1" t="s">
        <v>216</v>
      </c>
      <c r="B30" s="1" t="s">
        <v>17</v>
      </c>
      <c r="C30" s="1" t="s">
        <v>218</v>
      </c>
      <c r="D30" s="1" t="s">
        <v>216</v>
      </c>
      <c r="E30" s="1" t="s">
        <v>215</v>
      </c>
      <c r="F30" s="1" t="s">
        <v>43</v>
      </c>
      <c r="G30" s="1"/>
    </row>
    <row r="31" spans="1:7" ht="30" customHeight="1" x14ac:dyDescent="0.25">
      <c r="A31" s="1" t="s">
        <v>216</v>
      </c>
      <c r="B31" s="1" t="s">
        <v>19</v>
      </c>
      <c r="C31" s="1" t="s">
        <v>224</v>
      </c>
      <c r="D31" s="1" t="s">
        <v>216</v>
      </c>
      <c r="E31" s="1" t="s">
        <v>222</v>
      </c>
      <c r="F31" s="1" t="s">
        <v>43</v>
      </c>
      <c r="G31" s="1"/>
    </row>
    <row r="32" spans="1:7" ht="30" customHeight="1" x14ac:dyDescent="0.25">
      <c r="A32" s="1" t="s">
        <v>216</v>
      </c>
      <c r="B32" s="1" t="s">
        <v>21</v>
      </c>
      <c r="C32" s="1" t="s">
        <v>230</v>
      </c>
      <c r="D32" s="1" t="s">
        <v>216</v>
      </c>
      <c r="E32" s="1" t="s">
        <v>228</v>
      </c>
      <c r="F32" s="1" t="s">
        <v>43</v>
      </c>
      <c r="G32" s="1"/>
    </row>
    <row r="33" spans="1:7" ht="30" customHeight="1" x14ac:dyDescent="0.25">
      <c r="A33" s="1" t="s">
        <v>216</v>
      </c>
      <c r="B33" s="1" t="s">
        <v>23</v>
      </c>
      <c r="C33" s="1" t="s">
        <v>236</v>
      </c>
      <c r="D33" s="1" t="s">
        <v>216</v>
      </c>
      <c r="E33" s="1" t="s">
        <v>234</v>
      </c>
      <c r="F33" s="1" t="s">
        <v>43</v>
      </c>
      <c r="G33" s="1"/>
    </row>
    <row r="34" spans="1:7" ht="30" customHeight="1" x14ac:dyDescent="0.25">
      <c r="A34" s="1" t="s">
        <v>241</v>
      </c>
      <c r="B34" s="1" t="s">
        <v>17</v>
      </c>
      <c r="C34" s="1" t="s">
        <v>243</v>
      </c>
      <c r="D34" s="1" t="s">
        <v>241</v>
      </c>
      <c r="E34" s="1" t="s">
        <v>240</v>
      </c>
      <c r="F34" s="1" t="s">
        <v>43</v>
      </c>
      <c r="G34" s="1"/>
    </row>
    <row r="35" spans="1:7" ht="30" customHeight="1" x14ac:dyDescent="0.25">
      <c r="A35" s="1" t="s">
        <v>241</v>
      </c>
      <c r="B35" s="1" t="s">
        <v>19</v>
      </c>
      <c r="C35" s="1" t="s">
        <v>249</v>
      </c>
      <c r="D35" s="1" t="s">
        <v>241</v>
      </c>
      <c r="E35" s="1" t="s">
        <v>247</v>
      </c>
      <c r="F35" s="1" t="s">
        <v>43</v>
      </c>
      <c r="G35" s="1"/>
    </row>
    <row r="36" spans="1:7" ht="30" customHeight="1" x14ac:dyDescent="0.25">
      <c r="A36" s="1" t="s">
        <v>241</v>
      </c>
      <c r="B36" s="1" t="s">
        <v>21</v>
      </c>
      <c r="C36" s="1" t="s">
        <v>255</v>
      </c>
      <c r="D36" s="1" t="s">
        <v>241</v>
      </c>
      <c r="E36" s="1" t="s">
        <v>253</v>
      </c>
      <c r="F36" s="1" t="s">
        <v>43</v>
      </c>
      <c r="G36" s="1"/>
    </row>
    <row r="37" spans="1:7" ht="30" customHeight="1" x14ac:dyDescent="0.25">
      <c r="A37" s="1" t="s">
        <v>241</v>
      </c>
      <c r="B37" s="1" t="s">
        <v>23</v>
      </c>
      <c r="C37" s="1" t="s">
        <v>261</v>
      </c>
      <c r="D37" s="1" t="s">
        <v>241</v>
      </c>
      <c r="E37" s="1" t="s">
        <v>259</v>
      </c>
      <c r="F37" s="1" t="s">
        <v>43</v>
      </c>
      <c r="G37" s="1"/>
    </row>
    <row r="38" spans="1:7" ht="30" customHeight="1" x14ac:dyDescent="0.25">
      <c r="A38" s="1" t="s">
        <v>266</v>
      </c>
      <c r="B38" s="1" t="s">
        <v>17</v>
      </c>
      <c r="C38" s="1" t="s">
        <v>268</v>
      </c>
      <c r="D38" s="1" t="s">
        <v>266</v>
      </c>
      <c r="E38" s="1" t="s">
        <v>265</v>
      </c>
      <c r="F38" s="1" t="s">
        <v>43</v>
      </c>
      <c r="G38" s="1"/>
    </row>
    <row r="39" spans="1:7" ht="30" customHeight="1" x14ac:dyDescent="0.25">
      <c r="A39" s="1" t="s">
        <v>266</v>
      </c>
      <c r="B39" s="1" t="s">
        <v>19</v>
      </c>
      <c r="C39" s="1" t="s">
        <v>274</v>
      </c>
      <c r="D39" s="1" t="s">
        <v>266</v>
      </c>
      <c r="E39" s="1" t="s">
        <v>272</v>
      </c>
      <c r="F39" s="1" t="s">
        <v>43</v>
      </c>
      <c r="G39" s="1"/>
    </row>
    <row r="40" spans="1:7" ht="30" customHeight="1" x14ac:dyDescent="0.25">
      <c r="A40" s="1" t="s">
        <v>266</v>
      </c>
      <c r="B40" s="1" t="s">
        <v>21</v>
      </c>
      <c r="C40" s="1" t="s">
        <v>280</v>
      </c>
      <c r="D40" s="1" t="s">
        <v>266</v>
      </c>
      <c r="E40" s="1" t="s">
        <v>278</v>
      </c>
      <c r="F40" s="1" t="s">
        <v>43</v>
      </c>
      <c r="G40" s="1"/>
    </row>
    <row r="41" spans="1:7" ht="30" customHeight="1" x14ac:dyDescent="0.25">
      <c r="A41" s="1" t="s">
        <v>266</v>
      </c>
      <c r="B41" s="1" t="s">
        <v>23</v>
      </c>
      <c r="C41" s="1" t="s">
        <v>291</v>
      </c>
      <c r="D41" s="1" t="s">
        <v>266</v>
      </c>
      <c r="E41" s="1"/>
      <c r="F41" s="1" t="s">
        <v>43</v>
      </c>
      <c r="G41" s="1"/>
    </row>
  </sheetData>
  <autoFilter ref="A1:G41" xr:uid="{00000000-0009-0000-0000-000002000000}"/>
  <conditionalFormatting sqref="F2:F41">
    <cfRule type="cellIs" dxfId="1" priority="1" operator="equal">
      <formula>"Hoàn thành"</formula>
    </cfRule>
    <cfRule type="cellIs" dxfId="0" priority="2" operator="equal">
      <formula>"Chưa hoàn thành"</formula>
    </cfRule>
  </conditionalFormatting>
  <dataValidations count="1">
    <dataValidation type="list" sqref="F2:F41" xr:uid="{00000000-0002-0000-0200-000000000000}">
      <formula1>"Chưa hoàn thành,Hoàn thành"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Test Cases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2026-05-24T05:42:23Z</dcterms:created>
  <dcterms:modified xsi:type="dcterms:W3CDTF">2026-05-24T06:11:52Z</dcterms:modified>
</cp:coreProperties>
</file>